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1. Manual Analysis/"/>
    </mc:Choice>
  </mc:AlternateContent>
  <xr:revisionPtr revIDLastSave="135" documentId="8_{EE0C7845-2E16-D84C-A80F-2B1509CA7B18}" xr6:coauthVersionLast="47" xr6:coauthVersionMax="47" xr10:uidLastSave="{81A016C1-69E2-8D45-8ECF-0A158E5293E3}"/>
  <bookViews>
    <workbookView xWindow="0" yWindow="680" windowWidth="34200" windowHeight="19940" xr2:uid="{00000000-000D-0000-FFFF-FFFF00000000}"/>
  </bookViews>
  <sheets>
    <sheet name="500" sheetId="1" r:id="rId1"/>
  </sheets>
  <definedNames>
    <definedName name="_xlnm._FilterDatabase" localSheetId="0">'500'!$A$1:$AL$455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4" i="1" l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455" i="1"/>
  <c r="H2" i="1"/>
  <c r="O455" i="1"/>
  <c r="P455" i="1" s="1"/>
  <c r="O454" i="1"/>
  <c r="P454" i="1" s="1"/>
  <c r="O453" i="1"/>
  <c r="P453" i="1" s="1"/>
  <c r="O452" i="1"/>
  <c r="P452" i="1" s="1"/>
  <c r="O451" i="1"/>
  <c r="P451" i="1" s="1"/>
  <c r="O450" i="1"/>
  <c r="P450" i="1" s="1"/>
  <c r="O449" i="1"/>
  <c r="P449" i="1" s="1"/>
  <c r="O448" i="1"/>
  <c r="P448" i="1" s="1"/>
  <c r="O447" i="1"/>
  <c r="P447" i="1" s="1"/>
  <c r="O446" i="1"/>
  <c r="P446" i="1" s="1"/>
  <c r="O445" i="1"/>
  <c r="P445" i="1" s="1"/>
  <c r="O444" i="1"/>
  <c r="P444" i="1" s="1"/>
  <c r="O443" i="1"/>
  <c r="P443" i="1" s="1"/>
  <c r="O442" i="1"/>
  <c r="P442" i="1" s="1"/>
  <c r="O441" i="1"/>
  <c r="P441" i="1" s="1"/>
  <c r="O440" i="1"/>
  <c r="P440" i="1" s="1"/>
  <c r="O439" i="1"/>
  <c r="P439" i="1" s="1"/>
  <c r="O438" i="1"/>
  <c r="P438" i="1" s="1"/>
  <c r="O437" i="1"/>
  <c r="P437" i="1" s="1"/>
  <c r="O436" i="1"/>
  <c r="P436" i="1" s="1"/>
  <c r="O435" i="1"/>
  <c r="P435" i="1" s="1"/>
  <c r="O434" i="1"/>
  <c r="P434" i="1" s="1"/>
  <c r="O433" i="1"/>
  <c r="P433" i="1" s="1"/>
  <c r="O432" i="1"/>
  <c r="P432" i="1" s="1"/>
  <c r="O431" i="1"/>
  <c r="P431" i="1" s="1"/>
  <c r="O430" i="1"/>
  <c r="P430" i="1" s="1"/>
  <c r="O429" i="1"/>
  <c r="P429" i="1" s="1"/>
  <c r="O428" i="1"/>
  <c r="P428" i="1" s="1"/>
  <c r="O427" i="1"/>
  <c r="P427" i="1" s="1"/>
  <c r="O426" i="1"/>
  <c r="P426" i="1" s="1"/>
  <c r="O425" i="1"/>
  <c r="P425" i="1" s="1"/>
  <c r="O424" i="1"/>
  <c r="P424" i="1" s="1"/>
  <c r="O423" i="1"/>
  <c r="P423" i="1" s="1"/>
  <c r="O422" i="1"/>
  <c r="P422" i="1" s="1"/>
  <c r="O421" i="1"/>
  <c r="P421" i="1" s="1"/>
  <c r="O420" i="1"/>
  <c r="P420" i="1" s="1"/>
  <c r="O419" i="1"/>
  <c r="P419" i="1" s="1"/>
  <c r="O418" i="1"/>
  <c r="P418" i="1" s="1"/>
  <c r="O417" i="1"/>
  <c r="P417" i="1" s="1"/>
  <c r="O416" i="1"/>
  <c r="P416" i="1" s="1"/>
  <c r="O415" i="1"/>
  <c r="P415" i="1" s="1"/>
  <c r="O414" i="1"/>
  <c r="P414" i="1" s="1"/>
  <c r="O413" i="1"/>
  <c r="P413" i="1" s="1"/>
  <c r="O412" i="1"/>
  <c r="P412" i="1" s="1"/>
  <c r="O411" i="1"/>
  <c r="P411" i="1" s="1"/>
  <c r="O410" i="1"/>
  <c r="P410" i="1" s="1"/>
  <c r="O409" i="1"/>
  <c r="P409" i="1" s="1"/>
  <c r="O408" i="1"/>
  <c r="P408" i="1" s="1"/>
  <c r="O407" i="1"/>
  <c r="P407" i="1" s="1"/>
  <c r="O406" i="1"/>
  <c r="P406" i="1" s="1"/>
  <c r="O405" i="1"/>
  <c r="P405" i="1" s="1"/>
  <c r="O404" i="1"/>
  <c r="P404" i="1" s="1"/>
  <c r="O403" i="1"/>
  <c r="P403" i="1" s="1"/>
  <c r="O402" i="1"/>
  <c r="P402" i="1" s="1"/>
  <c r="O401" i="1"/>
  <c r="P401" i="1" s="1"/>
  <c r="O400" i="1"/>
  <c r="P400" i="1" s="1"/>
  <c r="O399" i="1"/>
  <c r="P399" i="1" s="1"/>
  <c r="O398" i="1"/>
  <c r="P398" i="1" s="1"/>
  <c r="O397" i="1"/>
  <c r="P397" i="1" s="1"/>
  <c r="O396" i="1"/>
  <c r="P396" i="1" s="1"/>
  <c r="O395" i="1"/>
  <c r="P395" i="1" s="1"/>
  <c r="O394" i="1"/>
  <c r="P394" i="1" s="1"/>
  <c r="O393" i="1"/>
  <c r="P393" i="1" s="1"/>
  <c r="O392" i="1"/>
  <c r="P392" i="1" s="1"/>
  <c r="O391" i="1"/>
  <c r="P391" i="1" s="1"/>
  <c r="O390" i="1"/>
  <c r="P390" i="1" s="1"/>
  <c r="O389" i="1"/>
  <c r="P389" i="1" s="1"/>
  <c r="O388" i="1"/>
  <c r="P388" i="1" s="1"/>
  <c r="O387" i="1"/>
  <c r="P387" i="1" s="1"/>
  <c r="O386" i="1"/>
  <c r="P386" i="1" s="1"/>
  <c r="O385" i="1"/>
  <c r="P385" i="1" s="1"/>
  <c r="O384" i="1"/>
  <c r="P384" i="1" s="1"/>
  <c r="O383" i="1"/>
  <c r="P383" i="1" s="1"/>
  <c r="O382" i="1"/>
  <c r="P382" i="1" s="1"/>
  <c r="O381" i="1"/>
  <c r="P381" i="1" s="1"/>
  <c r="O380" i="1"/>
  <c r="P380" i="1" s="1"/>
  <c r="O379" i="1"/>
  <c r="P379" i="1" s="1"/>
  <c r="O378" i="1"/>
  <c r="P378" i="1" s="1"/>
  <c r="O377" i="1"/>
  <c r="P377" i="1" s="1"/>
  <c r="O376" i="1"/>
  <c r="P376" i="1" s="1"/>
  <c r="O375" i="1"/>
  <c r="P375" i="1" s="1"/>
  <c r="O374" i="1"/>
  <c r="P374" i="1" s="1"/>
  <c r="O373" i="1"/>
  <c r="P373" i="1" s="1"/>
  <c r="O372" i="1"/>
  <c r="P372" i="1" s="1"/>
  <c r="O371" i="1"/>
  <c r="P371" i="1" s="1"/>
  <c r="O370" i="1"/>
  <c r="P370" i="1" s="1"/>
  <c r="O369" i="1"/>
  <c r="P369" i="1" s="1"/>
  <c r="O368" i="1"/>
  <c r="P368" i="1" s="1"/>
  <c r="O367" i="1"/>
  <c r="P367" i="1" s="1"/>
  <c r="O366" i="1"/>
  <c r="P366" i="1" s="1"/>
  <c r="O365" i="1"/>
  <c r="P365" i="1" s="1"/>
  <c r="O364" i="1"/>
  <c r="P364" i="1" s="1"/>
  <c r="O363" i="1"/>
  <c r="P363" i="1" s="1"/>
  <c r="O362" i="1"/>
  <c r="P362" i="1" s="1"/>
  <c r="O361" i="1"/>
  <c r="P361" i="1" s="1"/>
  <c r="O360" i="1"/>
  <c r="P360" i="1" s="1"/>
  <c r="O359" i="1"/>
  <c r="P359" i="1" s="1"/>
  <c r="O358" i="1"/>
  <c r="P358" i="1" s="1"/>
  <c r="O357" i="1"/>
  <c r="P357" i="1" s="1"/>
  <c r="O356" i="1"/>
  <c r="P356" i="1" s="1"/>
  <c r="O355" i="1"/>
  <c r="P355" i="1" s="1"/>
  <c r="O354" i="1"/>
  <c r="P354" i="1" s="1"/>
  <c r="O353" i="1"/>
  <c r="P353" i="1" s="1"/>
  <c r="O352" i="1"/>
  <c r="P352" i="1" s="1"/>
  <c r="O351" i="1"/>
  <c r="P351" i="1" s="1"/>
  <c r="O350" i="1"/>
  <c r="P350" i="1" s="1"/>
  <c r="O349" i="1"/>
  <c r="P349" i="1" s="1"/>
  <c r="O348" i="1"/>
  <c r="P348" i="1" s="1"/>
  <c r="O347" i="1"/>
  <c r="P347" i="1" s="1"/>
  <c r="O346" i="1"/>
  <c r="P346" i="1" s="1"/>
  <c r="O345" i="1"/>
  <c r="P345" i="1" s="1"/>
  <c r="O344" i="1"/>
  <c r="P344" i="1" s="1"/>
  <c r="O343" i="1"/>
  <c r="P343" i="1" s="1"/>
  <c r="O342" i="1"/>
  <c r="P342" i="1" s="1"/>
  <c r="O341" i="1"/>
  <c r="P341" i="1" s="1"/>
  <c r="O340" i="1"/>
  <c r="P340" i="1" s="1"/>
  <c r="O339" i="1"/>
  <c r="P339" i="1" s="1"/>
  <c r="O338" i="1"/>
  <c r="P338" i="1" s="1"/>
  <c r="O337" i="1"/>
  <c r="P337" i="1" s="1"/>
  <c r="O336" i="1"/>
  <c r="P336" i="1" s="1"/>
  <c r="O335" i="1"/>
  <c r="P335" i="1" s="1"/>
  <c r="O334" i="1"/>
  <c r="P334" i="1" s="1"/>
  <c r="O333" i="1"/>
  <c r="P333" i="1" s="1"/>
  <c r="O332" i="1"/>
  <c r="P332" i="1" s="1"/>
  <c r="O331" i="1"/>
  <c r="P331" i="1" s="1"/>
  <c r="O330" i="1"/>
  <c r="P330" i="1" s="1"/>
  <c r="O329" i="1"/>
  <c r="P329" i="1" s="1"/>
  <c r="O328" i="1"/>
  <c r="P328" i="1" s="1"/>
  <c r="O327" i="1"/>
  <c r="P327" i="1" s="1"/>
  <c r="O326" i="1"/>
  <c r="P326" i="1" s="1"/>
  <c r="O325" i="1"/>
  <c r="P325" i="1" s="1"/>
  <c r="O324" i="1"/>
  <c r="P324" i="1" s="1"/>
  <c r="O323" i="1"/>
  <c r="P323" i="1" s="1"/>
  <c r="O322" i="1"/>
  <c r="P322" i="1" s="1"/>
  <c r="O321" i="1"/>
  <c r="P321" i="1" s="1"/>
  <c r="O320" i="1"/>
  <c r="P320" i="1" s="1"/>
  <c r="O319" i="1"/>
  <c r="P319" i="1" s="1"/>
  <c r="O318" i="1"/>
  <c r="P318" i="1" s="1"/>
  <c r="O317" i="1"/>
  <c r="P317" i="1" s="1"/>
  <c r="O316" i="1"/>
  <c r="P316" i="1" s="1"/>
  <c r="O315" i="1"/>
  <c r="P315" i="1" s="1"/>
  <c r="O314" i="1"/>
  <c r="P314" i="1" s="1"/>
  <c r="O313" i="1"/>
  <c r="P313" i="1" s="1"/>
  <c r="O312" i="1"/>
  <c r="P312" i="1" s="1"/>
  <c r="O311" i="1"/>
  <c r="P311" i="1" s="1"/>
  <c r="O310" i="1"/>
  <c r="P310" i="1" s="1"/>
  <c r="O309" i="1"/>
  <c r="P309" i="1" s="1"/>
  <c r="O308" i="1"/>
  <c r="P308" i="1" s="1"/>
  <c r="O307" i="1"/>
  <c r="P307" i="1" s="1"/>
  <c r="O306" i="1"/>
  <c r="P306" i="1" s="1"/>
  <c r="O305" i="1"/>
  <c r="P305" i="1" s="1"/>
  <c r="O304" i="1"/>
  <c r="P304" i="1" s="1"/>
  <c r="O303" i="1"/>
  <c r="P303" i="1" s="1"/>
  <c r="O302" i="1"/>
  <c r="P302" i="1" s="1"/>
  <c r="O301" i="1"/>
  <c r="P301" i="1" s="1"/>
  <c r="O300" i="1"/>
  <c r="P300" i="1" s="1"/>
  <c r="O299" i="1"/>
  <c r="P299" i="1" s="1"/>
  <c r="O298" i="1"/>
  <c r="P298" i="1" s="1"/>
  <c r="O297" i="1"/>
  <c r="P297" i="1" s="1"/>
  <c r="O296" i="1"/>
  <c r="P296" i="1" s="1"/>
  <c r="O295" i="1"/>
  <c r="P295" i="1" s="1"/>
  <c r="O294" i="1"/>
  <c r="P294" i="1" s="1"/>
  <c r="O293" i="1"/>
  <c r="P293" i="1" s="1"/>
  <c r="O292" i="1"/>
  <c r="P292" i="1" s="1"/>
  <c r="O291" i="1"/>
  <c r="P291" i="1" s="1"/>
  <c r="O290" i="1"/>
  <c r="P290" i="1" s="1"/>
  <c r="O289" i="1"/>
  <c r="P289" i="1" s="1"/>
  <c r="O288" i="1"/>
  <c r="P288" i="1" s="1"/>
  <c r="O287" i="1"/>
  <c r="P287" i="1" s="1"/>
  <c r="O286" i="1"/>
  <c r="P286" i="1" s="1"/>
  <c r="O285" i="1"/>
  <c r="P285" i="1" s="1"/>
  <c r="O284" i="1"/>
  <c r="P284" i="1" s="1"/>
  <c r="O283" i="1"/>
  <c r="P283" i="1" s="1"/>
  <c r="O282" i="1"/>
  <c r="P282" i="1" s="1"/>
  <c r="O281" i="1"/>
  <c r="P281" i="1" s="1"/>
  <c r="O280" i="1"/>
  <c r="P280" i="1" s="1"/>
  <c r="O279" i="1"/>
  <c r="P279" i="1" s="1"/>
  <c r="O278" i="1"/>
  <c r="P278" i="1" s="1"/>
  <c r="O277" i="1"/>
  <c r="P277" i="1" s="1"/>
  <c r="O276" i="1"/>
  <c r="P276" i="1" s="1"/>
  <c r="O275" i="1"/>
  <c r="P275" i="1" s="1"/>
  <c r="O274" i="1"/>
  <c r="P274" i="1" s="1"/>
  <c r="O273" i="1"/>
  <c r="P273" i="1" s="1"/>
  <c r="O272" i="1"/>
  <c r="P272" i="1" s="1"/>
  <c r="O271" i="1"/>
  <c r="P271" i="1" s="1"/>
  <c r="O270" i="1"/>
  <c r="P270" i="1" s="1"/>
  <c r="O269" i="1"/>
  <c r="P269" i="1" s="1"/>
  <c r="O268" i="1"/>
  <c r="P268" i="1" s="1"/>
  <c r="O267" i="1"/>
  <c r="P267" i="1" s="1"/>
  <c r="O266" i="1"/>
  <c r="P266" i="1" s="1"/>
  <c r="O265" i="1"/>
  <c r="P265" i="1" s="1"/>
  <c r="O264" i="1"/>
  <c r="P264" i="1" s="1"/>
  <c r="O263" i="1"/>
  <c r="P263" i="1" s="1"/>
  <c r="O262" i="1"/>
  <c r="P262" i="1" s="1"/>
  <c r="O261" i="1"/>
  <c r="P261" i="1" s="1"/>
  <c r="O260" i="1"/>
  <c r="P260" i="1" s="1"/>
  <c r="O259" i="1"/>
  <c r="P259" i="1" s="1"/>
  <c r="O258" i="1"/>
  <c r="P258" i="1" s="1"/>
  <c r="O257" i="1"/>
  <c r="P257" i="1" s="1"/>
  <c r="O256" i="1"/>
  <c r="P256" i="1" s="1"/>
  <c r="O255" i="1"/>
  <c r="P255" i="1" s="1"/>
  <c r="O254" i="1"/>
  <c r="P254" i="1" s="1"/>
  <c r="O253" i="1"/>
  <c r="P253" i="1" s="1"/>
  <c r="O252" i="1"/>
  <c r="P252" i="1" s="1"/>
  <c r="O251" i="1"/>
  <c r="P251" i="1" s="1"/>
  <c r="O250" i="1"/>
  <c r="P250" i="1" s="1"/>
  <c r="O249" i="1"/>
  <c r="P249" i="1" s="1"/>
  <c r="O248" i="1"/>
  <c r="P248" i="1" s="1"/>
  <c r="O247" i="1"/>
  <c r="P247" i="1" s="1"/>
  <c r="O246" i="1"/>
  <c r="P246" i="1" s="1"/>
  <c r="O245" i="1"/>
  <c r="P245" i="1" s="1"/>
  <c r="O244" i="1"/>
  <c r="P244" i="1" s="1"/>
  <c r="O243" i="1"/>
  <c r="P243" i="1" s="1"/>
  <c r="O242" i="1"/>
  <c r="P242" i="1" s="1"/>
  <c r="O241" i="1"/>
  <c r="P241" i="1" s="1"/>
  <c r="O240" i="1"/>
  <c r="P240" i="1" s="1"/>
  <c r="O239" i="1"/>
  <c r="P239" i="1" s="1"/>
  <c r="O238" i="1"/>
  <c r="P238" i="1" s="1"/>
  <c r="O237" i="1"/>
  <c r="P237" i="1" s="1"/>
  <c r="O236" i="1"/>
  <c r="P236" i="1" s="1"/>
  <c r="O235" i="1"/>
  <c r="P235" i="1" s="1"/>
  <c r="O234" i="1"/>
  <c r="P234" i="1" s="1"/>
  <c r="O233" i="1"/>
  <c r="P233" i="1" s="1"/>
  <c r="O232" i="1"/>
  <c r="P232" i="1" s="1"/>
  <c r="O231" i="1"/>
  <c r="P231" i="1" s="1"/>
  <c r="O230" i="1"/>
  <c r="P230" i="1" s="1"/>
  <c r="O229" i="1"/>
  <c r="P229" i="1" s="1"/>
  <c r="O228" i="1"/>
  <c r="P228" i="1" s="1"/>
  <c r="O227" i="1"/>
  <c r="P227" i="1" s="1"/>
  <c r="O226" i="1"/>
  <c r="P226" i="1" s="1"/>
  <c r="O225" i="1"/>
  <c r="P225" i="1" s="1"/>
  <c r="O224" i="1"/>
  <c r="P224" i="1" s="1"/>
  <c r="O223" i="1"/>
  <c r="P223" i="1" s="1"/>
  <c r="O222" i="1"/>
  <c r="P222" i="1" s="1"/>
  <c r="O221" i="1"/>
  <c r="P221" i="1" s="1"/>
  <c r="O220" i="1"/>
  <c r="P220" i="1" s="1"/>
  <c r="O219" i="1"/>
  <c r="P219" i="1" s="1"/>
  <c r="O218" i="1"/>
  <c r="P218" i="1" s="1"/>
  <c r="O217" i="1"/>
  <c r="P217" i="1" s="1"/>
  <c r="O216" i="1"/>
  <c r="P216" i="1" s="1"/>
  <c r="O215" i="1"/>
  <c r="P215" i="1" s="1"/>
  <c r="O214" i="1"/>
  <c r="P214" i="1" s="1"/>
  <c r="O213" i="1"/>
  <c r="P213" i="1" s="1"/>
  <c r="O212" i="1"/>
  <c r="P212" i="1" s="1"/>
  <c r="O211" i="1"/>
  <c r="P211" i="1" s="1"/>
  <c r="O210" i="1"/>
  <c r="P210" i="1" s="1"/>
  <c r="O209" i="1"/>
  <c r="P209" i="1" s="1"/>
  <c r="O208" i="1"/>
  <c r="P208" i="1" s="1"/>
  <c r="O207" i="1"/>
  <c r="P207" i="1" s="1"/>
  <c r="O206" i="1"/>
  <c r="P206" i="1" s="1"/>
  <c r="O205" i="1"/>
  <c r="P205" i="1" s="1"/>
  <c r="O204" i="1"/>
  <c r="P204" i="1" s="1"/>
  <c r="O203" i="1"/>
  <c r="P203" i="1" s="1"/>
  <c r="O202" i="1"/>
  <c r="P202" i="1" s="1"/>
  <c r="O201" i="1"/>
  <c r="P201" i="1" s="1"/>
  <c r="O200" i="1"/>
  <c r="P200" i="1" s="1"/>
  <c r="O199" i="1"/>
  <c r="P199" i="1" s="1"/>
  <c r="O198" i="1"/>
  <c r="P198" i="1" s="1"/>
  <c r="O197" i="1"/>
  <c r="P197" i="1" s="1"/>
  <c r="O196" i="1"/>
  <c r="P196" i="1" s="1"/>
  <c r="O195" i="1"/>
  <c r="P195" i="1" s="1"/>
  <c r="O194" i="1"/>
  <c r="P194" i="1" s="1"/>
  <c r="O193" i="1"/>
  <c r="P193" i="1" s="1"/>
  <c r="O192" i="1"/>
  <c r="P192" i="1" s="1"/>
  <c r="O191" i="1"/>
  <c r="P191" i="1" s="1"/>
  <c r="O190" i="1"/>
  <c r="P190" i="1" s="1"/>
  <c r="O189" i="1"/>
  <c r="P189" i="1" s="1"/>
  <c r="O188" i="1"/>
  <c r="P188" i="1" s="1"/>
  <c r="O187" i="1"/>
  <c r="P187" i="1" s="1"/>
  <c r="O186" i="1"/>
  <c r="P186" i="1" s="1"/>
  <c r="O185" i="1"/>
  <c r="P185" i="1" s="1"/>
  <c r="O184" i="1"/>
  <c r="P184" i="1" s="1"/>
  <c r="O183" i="1"/>
  <c r="P183" i="1" s="1"/>
  <c r="O182" i="1"/>
  <c r="P182" i="1" s="1"/>
  <c r="O181" i="1"/>
  <c r="P181" i="1" s="1"/>
  <c r="O180" i="1"/>
  <c r="P180" i="1" s="1"/>
  <c r="O179" i="1"/>
  <c r="P179" i="1" s="1"/>
  <c r="O178" i="1"/>
  <c r="P178" i="1" s="1"/>
  <c r="O177" i="1"/>
  <c r="P177" i="1" s="1"/>
  <c r="O176" i="1"/>
  <c r="P176" i="1" s="1"/>
  <c r="O175" i="1"/>
  <c r="P175" i="1" s="1"/>
  <c r="O174" i="1"/>
  <c r="P174" i="1" s="1"/>
  <c r="O173" i="1"/>
  <c r="P173" i="1" s="1"/>
  <c r="O172" i="1"/>
  <c r="P172" i="1" s="1"/>
  <c r="O171" i="1"/>
  <c r="P171" i="1" s="1"/>
  <c r="O170" i="1"/>
  <c r="P170" i="1" s="1"/>
  <c r="O169" i="1"/>
  <c r="P169" i="1" s="1"/>
  <c r="O168" i="1"/>
  <c r="P168" i="1" s="1"/>
  <c r="O167" i="1"/>
  <c r="P167" i="1" s="1"/>
  <c r="O166" i="1"/>
  <c r="P166" i="1" s="1"/>
  <c r="O165" i="1"/>
  <c r="P165" i="1" s="1"/>
  <c r="O164" i="1"/>
  <c r="P164" i="1" s="1"/>
  <c r="O163" i="1"/>
  <c r="P163" i="1" s="1"/>
  <c r="O162" i="1"/>
  <c r="P162" i="1" s="1"/>
  <c r="O161" i="1"/>
  <c r="P161" i="1" s="1"/>
  <c r="O160" i="1"/>
  <c r="P160" i="1" s="1"/>
  <c r="O159" i="1"/>
  <c r="P159" i="1" s="1"/>
  <c r="O158" i="1"/>
  <c r="P158" i="1" s="1"/>
  <c r="O157" i="1"/>
  <c r="P157" i="1" s="1"/>
  <c r="O156" i="1"/>
  <c r="P156" i="1" s="1"/>
  <c r="O155" i="1"/>
  <c r="P155" i="1" s="1"/>
  <c r="O154" i="1"/>
  <c r="P154" i="1" s="1"/>
  <c r="O153" i="1"/>
  <c r="P153" i="1" s="1"/>
  <c r="O152" i="1"/>
  <c r="P152" i="1" s="1"/>
  <c r="O151" i="1"/>
  <c r="P151" i="1" s="1"/>
  <c r="O150" i="1"/>
  <c r="P150" i="1" s="1"/>
  <c r="O149" i="1"/>
  <c r="P149" i="1" s="1"/>
  <c r="O148" i="1"/>
  <c r="P148" i="1" s="1"/>
  <c r="O147" i="1"/>
  <c r="P147" i="1" s="1"/>
  <c r="O146" i="1"/>
  <c r="P146" i="1" s="1"/>
  <c r="O145" i="1"/>
  <c r="P145" i="1" s="1"/>
  <c r="O144" i="1"/>
  <c r="P144" i="1" s="1"/>
  <c r="O143" i="1"/>
  <c r="P143" i="1" s="1"/>
  <c r="O142" i="1"/>
  <c r="P142" i="1" s="1"/>
  <c r="O141" i="1"/>
  <c r="P141" i="1" s="1"/>
  <c r="O140" i="1"/>
  <c r="P140" i="1" s="1"/>
  <c r="O139" i="1"/>
  <c r="P139" i="1" s="1"/>
  <c r="O138" i="1"/>
  <c r="P138" i="1" s="1"/>
  <c r="O137" i="1"/>
  <c r="P137" i="1" s="1"/>
  <c r="O136" i="1"/>
  <c r="P136" i="1" s="1"/>
  <c r="O135" i="1"/>
  <c r="P135" i="1" s="1"/>
  <c r="O134" i="1"/>
  <c r="P134" i="1" s="1"/>
  <c r="O133" i="1"/>
  <c r="P133" i="1" s="1"/>
  <c r="O132" i="1"/>
  <c r="P132" i="1" s="1"/>
  <c r="O131" i="1"/>
  <c r="P131" i="1" s="1"/>
  <c r="O130" i="1"/>
  <c r="P130" i="1" s="1"/>
  <c r="O129" i="1"/>
  <c r="P129" i="1" s="1"/>
  <c r="O128" i="1"/>
  <c r="P128" i="1" s="1"/>
  <c r="O127" i="1"/>
  <c r="P127" i="1" s="1"/>
  <c r="O126" i="1"/>
  <c r="P126" i="1" s="1"/>
  <c r="O125" i="1"/>
  <c r="P125" i="1" s="1"/>
  <c r="O124" i="1"/>
  <c r="P124" i="1" s="1"/>
  <c r="O123" i="1"/>
  <c r="P123" i="1" s="1"/>
  <c r="O122" i="1"/>
  <c r="P122" i="1" s="1"/>
  <c r="O121" i="1"/>
  <c r="P121" i="1" s="1"/>
  <c r="O120" i="1"/>
  <c r="P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8" i="1"/>
  <c r="P108" i="1" s="1"/>
  <c r="O107" i="1"/>
  <c r="P107" i="1" s="1"/>
  <c r="O106" i="1"/>
  <c r="P106" i="1" s="1"/>
  <c r="O105" i="1"/>
  <c r="P105" i="1" s="1"/>
  <c r="O104" i="1"/>
  <c r="P104" i="1" s="1"/>
  <c r="O103" i="1"/>
  <c r="P103" i="1" s="1"/>
  <c r="O102" i="1"/>
  <c r="P102" i="1" s="1"/>
  <c r="O101" i="1"/>
  <c r="P101" i="1" s="1"/>
  <c r="O100" i="1"/>
  <c r="P100" i="1" s="1"/>
  <c r="O99" i="1"/>
  <c r="P99" i="1" s="1"/>
  <c r="O98" i="1"/>
  <c r="P98" i="1" s="1"/>
  <c r="O97" i="1"/>
  <c r="P97" i="1" s="1"/>
  <c r="O96" i="1"/>
  <c r="P96" i="1" s="1"/>
  <c r="O95" i="1"/>
  <c r="P95" i="1" s="1"/>
  <c r="O94" i="1"/>
  <c r="P94" i="1" s="1"/>
  <c r="O93" i="1"/>
  <c r="P93" i="1" s="1"/>
  <c r="O92" i="1"/>
  <c r="P92" i="1" s="1"/>
  <c r="O91" i="1"/>
  <c r="P91" i="1" s="1"/>
  <c r="O90" i="1"/>
  <c r="P90" i="1" s="1"/>
  <c r="O89" i="1"/>
  <c r="P89" i="1" s="1"/>
  <c r="O88" i="1"/>
  <c r="P88" i="1" s="1"/>
  <c r="O87" i="1"/>
  <c r="P87" i="1" s="1"/>
  <c r="O86" i="1"/>
  <c r="P86" i="1" s="1"/>
  <c r="O85" i="1"/>
  <c r="P85" i="1" s="1"/>
  <c r="O84" i="1"/>
  <c r="P84" i="1" s="1"/>
  <c r="O83" i="1"/>
  <c r="P83" i="1" s="1"/>
  <c r="O82" i="1"/>
  <c r="P82" i="1" s="1"/>
  <c r="O81" i="1"/>
  <c r="P81" i="1" s="1"/>
  <c r="O80" i="1"/>
  <c r="P80" i="1" s="1"/>
  <c r="O79" i="1"/>
  <c r="P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O71" i="1"/>
  <c r="P71" i="1" s="1"/>
  <c r="O70" i="1"/>
  <c r="P70" i="1" s="1"/>
  <c r="O69" i="1"/>
  <c r="P69" i="1" s="1"/>
  <c r="O68" i="1"/>
  <c r="P68" i="1" s="1"/>
  <c r="O67" i="1"/>
  <c r="P67" i="1" s="1"/>
  <c r="O66" i="1"/>
  <c r="P66" i="1" s="1"/>
  <c r="O65" i="1"/>
  <c r="P65" i="1" s="1"/>
  <c r="O64" i="1"/>
  <c r="P64" i="1" s="1"/>
  <c r="O63" i="1"/>
  <c r="P63" i="1" s="1"/>
  <c r="O62" i="1"/>
  <c r="P62" i="1" s="1"/>
  <c r="O61" i="1"/>
  <c r="P61" i="1" s="1"/>
  <c r="O60" i="1"/>
  <c r="P60" i="1" s="1"/>
  <c r="O59" i="1"/>
  <c r="P59" i="1" s="1"/>
  <c r="O58" i="1"/>
  <c r="P58" i="1" s="1"/>
  <c r="O57" i="1"/>
  <c r="P57" i="1" s="1"/>
  <c r="O56" i="1"/>
  <c r="P56" i="1" s="1"/>
  <c r="O55" i="1"/>
  <c r="P55" i="1" s="1"/>
  <c r="O54" i="1"/>
  <c r="P54" i="1" s="1"/>
  <c r="O53" i="1"/>
  <c r="P53" i="1" s="1"/>
  <c r="O52" i="1"/>
  <c r="P52" i="1" s="1"/>
  <c r="O51" i="1"/>
  <c r="P51" i="1" s="1"/>
  <c r="O50" i="1"/>
  <c r="P50" i="1" s="1"/>
  <c r="O49" i="1"/>
  <c r="P49" i="1" s="1"/>
  <c r="O48" i="1"/>
  <c r="P48" i="1" s="1"/>
  <c r="O47" i="1"/>
  <c r="P47" i="1" s="1"/>
  <c r="O46" i="1"/>
  <c r="P46" i="1" s="1"/>
  <c r="O45" i="1"/>
  <c r="P45" i="1" s="1"/>
  <c r="O44" i="1"/>
  <c r="P44" i="1" s="1"/>
  <c r="O43" i="1"/>
  <c r="P43" i="1" s="1"/>
  <c r="O42" i="1"/>
  <c r="P42" i="1" s="1"/>
  <c r="O41" i="1"/>
  <c r="P41" i="1" s="1"/>
  <c r="O40" i="1"/>
  <c r="P40" i="1" s="1"/>
  <c r="O39" i="1"/>
  <c r="P39" i="1" s="1"/>
  <c r="O38" i="1"/>
  <c r="P38" i="1" s="1"/>
  <c r="O37" i="1"/>
  <c r="P37" i="1" s="1"/>
  <c r="O36" i="1"/>
  <c r="P36" i="1" s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 s="1"/>
  <c r="O26" i="1"/>
  <c r="P26" i="1" s="1"/>
  <c r="O25" i="1"/>
  <c r="P25" i="1" s="1"/>
  <c r="O24" i="1"/>
  <c r="P24" i="1" s="1"/>
  <c r="O23" i="1"/>
  <c r="P23" i="1" s="1"/>
  <c r="O22" i="1"/>
  <c r="P22" i="1" s="1"/>
  <c r="O21" i="1"/>
  <c r="P21" i="1" s="1"/>
  <c r="O20" i="1"/>
  <c r="P20" i="1" s="1"/>
  <c r="O19" i="1"/>
  <c r="P19" i="1" s="1"/>
  <c r="O18" i="1"/>
  <c r="P18" i="1" s="1"/>
  <c r="O17" i="1"/>
  <c r="P17" i="1" s="1"/>
  <c r="O16" i="1"/>
  <c r="P16" i="1" s="1"/>
  <c r="O15" i="1"/>
  <c r="P15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O4" i="1"/>
  <c r="P4" i="1" s="1"/>
  <c r="O3" i="1"/>
  <c r="P3" i="1" s="1"/>
  <c r="O2" i="1"/>
  <c r="P2" i="1" s="1"/>
  <c r="AD455" i="1"/>
  <c r="AE455" i="1" s="1"/>
  <c r="AD454" i="1"/>
  <c r="AE454" i="1" s="1"/>
  <c r="AD453" i="1"/>
  <c r="AE453" i="1" s="1"/>
  <c r="AD452" i="1"/>
  <c r="AE452" i="1" s="1"/>
  <c r="AD451" i="1"/>
  <c r="AE451" i="1" s="1"/>
  <c r="AD450" i="1"/>
  <c r="AE450" i="1" s="1"/>
  <c r="AD449" i="1"/>
  <c r="AE449" i="1" s="1"/>
  <c r="AD448" i="1"/>
  <c r="AE448" i="1" s="1"/>
  <c r="AD447" i="1"/>
  <c r="AE447" i="1" s="1"/>
  <c r="AD446" i="1"/>
  <c r="AE446" i="1" s="1"/>
  <c r="AD445" i="1"/>
  <c r="AE445" i="1" s="1"/>
  <c r="AD444" i="1"/>
  <c r="AE444" i="1" s="1"/>
  <c r="AD443" i="1"/>
  <c r="AE443" i="1" s="1"/>
  <c r="AD442" i="1"/>
  <c r="AE442" i="1" s="1"/>
  <c r="AD441" i="1"/>
  <c r="AE441" i="1" s="1"/>
  <c r="AD440" i="1"/>
  <c r="AE440" i="1" s="1"/>
  <c r="AD439" i="1"/>
  <c r="AE439" i="1" s="1"/>
  <c r="AD438" i="1"/>
  <c r="AE438" i="1" s="1"/>
  <c r="AD437" i="1"/>
  <c r="AE437" i="1" s="1"/>
  <c r="AD436" i="1"/>
  <c r="AE436" i="1" s="1"/>
  <c r="AD435" i="1"/>
  <c r="AE435" i="1" s="1"/>
  <c r="AD434" i="1"/>
  <c r="AE434" i="1" s="1"/>
  <c r="AD433" i="1"/>
  <c r="AE433" i="1" s="1"/>
  <c r="AD432" i="1"/>
  <c r="AE432" i="1" s="1"/>
  <c r="AD431" i="1"/>
  <c r="AE431" i="1" s="1"/>
  <c r="AD430" i="1"/>
  <c r="AE430" i="1" s="1"/>
  <c r="AD429" i="1"/>
  <c r="AE429" i="1" s="1"/>
  <c r="AD428" i="1"/>
  <c r="AE428" i="1" s="1"/>
  <c r="AD427" i="1"/>
  <c r="AE427" i="1" s="1"/>
  <c r="AD426" i="1"/>
  <c r="AE426" i="1" s="1"/>
  <c r="AD425" i="1"/>
  <c r="AE425" i="1" s="1"/>
  <c r="AD424" i="1"/>
  <c r="AE424" i="1" s="1"/>
  <c r="AD423" i="1"/>
  <c r="AE423" i="1" s="1"/>
  <c r="AD422" i="1"/>
  <c r="AE422" i="1" s="1"/>
  <c r="AD421" i="1"/>
  <c r="AE421" i="1" s="1"/>
  <c r="AD420" i="1"/>
  <c r="AE420" i="1" s="1"/>
  <c r="AD419" i="1"/>
  <c r="AE419" i="1" s="1"/>
  <c r="AD418" i="1"/>
  <c r="AE418" i="1" s="1"/>
  <c r="AD417" i="1"/>
  <c r="AE417" i="1" s="1"/>
  <c r="AD416" i="1"/>
  <c r="AE416" i="1" s="1"/>
  <c r="AD415" i="1"/>
  <c r="AE415" i="1" s="1"/>
  <c r="AD414" i="1"/>
  <c r="AE414" i="1" s="1"/>
  <c r="AD413" i="1"/>
  <c r="AE413" i="1" s="1"/>
  <c r="AD412" i="1"/>
  <c r="AE412" i="1" s="1"/>
  <c r="AD411" i="1"/>
  <c r="AE411" i="1" s="1"/>
  <c r="AD410" i="1"/>
  <c r="AE410" i="1" s="1"/>
  <c r="AD409" i="1"/>
  <c r="AE409" i="1" s="1"/>
  <c r="AD408" i="1"/>
  <c r="AE408" i="1" s="1"/>
  <c r="AD407" i="1"/>
  <c r="AE407" i="1" s="1"/>
  <c r="AD406" i="1"/>
  <c r="AE406" i="1" s="1"/>
  <c r="AD405" i="1"/>
  <c r="AE405" i="1" s="1"/>
  <c r="AD404" i="1"/>
  <c r="AE404" i="1" s="1"/>
  <c r="AD403" i="1"/>
  <c r="AE403" i="1" s="1"/>
  <c r="AD402" i="1"/>
  <c r="AE402" i="1" s="1"/>
  <c r="AD401" i="1"/>
  <c r="AE401" i="1" s="1"/>
  <c r="AD400" i="1"/>
  <c r="AE400" i="1" s="1"/>
  <c r="AD399" i="1"/>
  <c r="AE399" i="1" s="1"/>
  <c r="AD398" i="1"/>
  <c r="AE398" i="1" s="1"/>
  <c r="AD397" i="1"/>
  <c r="AE397" i="1" s="1"/>
  <c r="AD396" i="1"/>
  <c r="AE396" i="1" s="1"/>
  <c r="AD395" i="1"/>
  <c r="AE395" i="1" s="1"/>
  <c r="AD394" i="1"/>
  <c r="AE394" i="1" s="1"/>
  <c r="AD393" i="1"/>
  <c r="AE393" i="1" s="1"/>
  <c r="AD392" i="1"/>
  <c r="AE392" i="1" s="1"/>
  <c r="AD391" i="1"/>
  <c r="AE391" i="1" s="1"/>
  <c r="AD390" i="1"/>
  <c r="AE390" i="1" s="1"/>
  <c r="AD389" i="1"/>
  <c r="AE389" i="1" s="1"/>
  <c r="AD388" i="1"/>
  <c r="AE388" i="1" s="1"/>
  <c r="AD387" i="1"/>
  <c r="AE387" i="1" s="1"/>
  <c r="AD386" i="1"/>
  <c r="AE386" i="1" s="1"/>
  <c r="AD385" i="1"/>
  <c r="AE385" i="1" s="1"/>
  <c r="AD384" i="1"/>
  <c r="AE384" i="1" s="1"/>
  <c r="AD383" i="1"/>
  <c r="AE383" i="1" s="1"/>
  <c r="AD382" i="1"/>
  <c r="AE382" i="1" s="1"/>
  <c r="AD381" i="1"/>
  <c r="AE381" i="1" s="1"/>
  <c r="AD380" i="1"/>
  <c r="AE380" i="1" s="1"/>
  <c r="AD379" i="1"/>
  <c r="AE379" i="1" s="1"/>
  <c r="AD378" i="1"/>
  <c r="AE378" i="1" s="1"/>
  <c r="AD377" i="1"/>
  <c r="AE377" i="1" s="1"/>
  <c r="AD376" i="1"/>
  <c r="AE376" i="1" s="1"/>
  <c r="AD375" i="1"/>
  <c r="AE375" i="1" s="1"/>
  <c r="AD374" i="1"/>
  <c r="AE374" i="1" s="1"/>
  <c r="AD373" i="1"/>
  <c r="AE373" i="1" s="1"/>
  <c r="AD372" i="1"/>
  <c r="AE372" i="1" s="1"/>
  <c r="AD371" i="1"/>
  <c r="AE371" i="1" s="1"/>
  <c r="AD370" i="1"/>
  <c r="AE370" i="1" s="1"/>
  <c r="AD369" i="1"/>
  <c r="AE369" i="1" s="1"/>
  <c r="AD368" i="1"/>
  <c r="AE368" i="1" s="1"/>
  <c r="AD367" i="1"/>
  <c r="AE367" i="1" s="1"/>
  <c r="AD366" i="1"/>
  <c r="AE366" i="1" s="1"/>
  <c r="AD365" i="1"/>
  <c r="AE365" i="1" s="1"/>
  <c r="AD364" i="1"/>
  <c r="AE364" i="1" s="1"/>
  <c r="AD363" i="1"/>
  <c r="AE363" i="1" s="1"/>
  <c r="AD362" i="1"/>
  <c r="AE362" i="1" s="1"/>
  <c r="AD361" i="1"/>
  <c r="AE361" i="1" s="1"/>
  <c r="AD360" i="1"/>
  <c r="AE360" i="1" s="1"/>
  <c r="AD359" i="1"/>
  <c r="AE359" i="1" s="1"/>
  <c r="AD358" i="1"/>
  <c r="AE358" i="1" s="1"/>
  <c r="AD357" i="1"/>
  <c r="AE357" i="1" s="1"/>
  <c r="AD356" i="1"/>
  <c r="AE356" i="1" s="1"/>
  <c r="AD355" i="1"/>
  <c r="AE355" i="1" s="1"/>
  <c r="AD354" i="1"/>
  <c r="AE354" i="1" s="1"/>
  <c r="AD353" i="1"/>
  <c r="AE353" i="1" s="1"/>
  <c r="AD352" i="1"/>
  <c r="AE352" i="1" s="1"/>
  <c r="AD351" i="1"/>
  <c r="AE351" i="1" s="1"/>
  <c r="AD350" i="1"/>
  <c r="AE350" i="1" s="1"/>
  <c r="AD349" i="1"/>
  <c r="AE349" i="1" s="1"/>
  <c r="AD348" i="1"/>
  <c r="AE348" i="1" s="1"/>
  <c r="AD347" i="1"/>
  <c r="AE347" i="1" s="1"/>
  <c r="AD346" i="1"/>
  <c r="AE346" i="1" s="1"/>
  <c r="AD345" i="1"/>
  <c r="AE345" i="1" s="1"/>
  <c r="AD344" i="1"/>
  <c r="AE344" i="1" s="1"/>
  <c r="AD343" i="1"/>
  <c r="AE343" i="1" s="1"/>
  <c r="AD342" i="1"/>
  <c r="AE342" i="1" s="1"/>
  <c r="AD341" i="1"/>
  <c r="AE341" i="1" s="1"/>
  <c r="AD340" i="1"/>
  <c r="AE340" i="1" s="1"/>
  <c r="AD339" i="1"/>
  <c r="AE339" i="1" s="1"/>
  <c r="AD338" i="1"/>
  <c r="AE338" i="1" s="1"/>
  <c r="AD337" i="1"/>
  <c r="AE337" i="1" s="1"/>
  <c r="AD336" i="1"/>
  <c r="AE336" i="1" s="1"/>
  <c r="AD335" i="1"/>
  <c r="AE335" i="1" s="1"/>
  <c r="AD334" i="1"/>
  <c r="AE334" i="1" s="1"/>
  <c r="AD333" i="1"/>
  <c r="AE333" i="1" s="1"/>
  <c r="AD332" i="1"/>
  <c r="AE332" i="1" s="1"/>
  <c r="AD331" i="1"/>
  <c r="AE331" i="1" s="1"/>
  <c r="AD330" i="1"/>
  <c r="AE330" i="1" s="1"/>
  <c r="AD329" i="1"/>
  <c r="AE329" i="1" s="1"/>
  <c r="AD328" i="1"/>
  <c r="AE328" i="1" s="1"/>
  <c r="AD327" i="1"/>
  <c r="AE327" i="1" s="1"/>
  <c r="AD326" i="1"/>
  <c r="AE326" i="1" s="1"/>
  <c r="AD325" i="1"/>
  <c r="AE325" i="1" s="1"/>
  <c r="AD324" i="1"/>
  <c r="AE324" i="1" s="1"/>
  <c r="AD323" i="1"/>
  <c r="AE323" i="1" s="1"/>
  <c r="AD322" i="1"/>
  <c r="AE322" i="1" s="1"/>
  <c r="AD321" i="1"/>
  <c r="AE321" i="1" s="1"/>
  <c r="AD320" i="1"/>
  <c r="AE320" i="1" s="1"/>
  <c r="AD319" i="1"/>
  <c r="AE319" i="1" s="1"/>
  <c r="AD318" i="1"/>
  <c r="AE318" i="1" s="1"/>
  <c r="AD317" i="1"/>
  <c r="AE317" i="1" s="1"/>
  <c r="AD316" i="1"/>
  <c r="AE316" i="1" s="1"/>
  <c r="AD315" i="1"/>
  <c r="AE315" i="1" s="1"/>
  <c r="AD314" i="1"/>
  <c r="AE314" i="1" s="1"/>
  <c r="AD313" i="1"/>
  <c r="AE313" i="1" s="1"/>
  <c r="AD312" i="1"/>
  <c r="AE312" i="1" s="1"/>
  <c r="AD311" i="1"/>
  <c r="AE311" i="1" s="1"/>
  <c r="AD310" i="1"/>
  <c r="AE310" i="1" s="1"/>
  <c r="AD309" i="1"/>
  <c r="AE309" i="1" s="1"/>
  <c r="AD308" i="1"/>
  <c r="AE308" i="1" s="1"/>
  <c r="AD307" i="1"/>
  <c r="AE307" i="1" s="1"/>
  <c r="AD306" i="1"/>
  <c r="AE306" i="1" s="1"/>
  <c r="AD305" i="1"/>
  <c r="AE305" i="1" s="1"/>
  <c r="AD304" i="1"/>
  <c r="AE304" i="1" s="1"/>
  <c r="AD303" i="1"/>
  <c r="AE303" i="1" s="1"/>
  <c r="AD302" i="1"/>
  <c r="AE302" i="1" s="1"/>
  <c r="AD301" i="1"/>
  <c r="AE301" i="1" s="1"/>
  <c r="AD300" i="1"/>
  <c r="AE300" i="1" s="1"/>
  <c r="AD299" i="1"/>
  <c r="AE299" i="1" s="1"/>
  <c r="AD298" i="1"/>
  <c r="AE298" i="1" s="1"/>
  <c r="AD297" i="1"/>
  <c r="AE297" i="1" s="1"/>
  <c r="AD296" i="1"/>
  <c r="AE296" i="1" s="1"/>
  <c r="AD295" i="1"/>
  <c r="AE295" i="1" s="1"/>
  <c r="AD294" i="1"/>
  <c r="AE294" i="1" s="1"/>
  <c r="AD293" i="1"/>
  <c r="AE293" i="1" s="1"/>
  <c r="AD292" i="1"/>
  <c r="AE292" i="1" s="1"/>
  <c r="AD291" i="1"/>
  <c r="AE291" i="1" s="1"/>
  <c r="AD290" i="1"/>
  <c r="AE290" i="1" s="1"/>
  <c r="AD289" i="1"/>
  <c r="AE289" i="1" s="1"/>
  <c r="AD288" i="1"/>
  <c r="AE288" i="1" s="1"/>
  <c r="AD287" i="1"/>
  <c r="AE287" i="1" s="1"/>
  <c r="AD286" i="1"/>
  <c r="AE286" i="1" s="1"/>
  <c r="AD285" i="1"/>
  <c r="AE285" i="1" s="1"/>
  <c r="AD284" i="1"/>
  <c r="AE284" i="1" s="1"/>
  <c r="AD283" i="1"/>
  <c r="AE283" i="1" s="1"/>
  <c r="AD282" i="1"/>
  <c r="AE282" i="1" s="1"/>
  <c r="AD281" i="1"/>
  <c r="AE281" i="1" s="1"/>
  <c r="AD280" i="1"/>
  <c r="AE280" i="1" s="1"/>
  <c r="AD279" i="1"/>
  <c r="AE279" i="1" s="1"/>
  <c r="AD278" i="1"/>
  <c r="AE278" i="1" s="1"/>
  <c r="AD277" i="1"/>
  <c r="AE277" i="1" s="1"/>
  <c r="AD276" i="1"/>
  <c r="AE276" i="1" s="1"/>
  <c r="AD275" i="1"/>
  <c r="AE275" i="1" s="1"/>
  <c r="AD274" i="1"/>
  <c r="AE274" i="1" s="1"/>
  <c r="AD273" i="1"/>
  <c r="AE273" i="1" s="1"/>
  <c r="AD272" i="1"/>
  <c r="AE272" i="1" s="1"/>
  <c r="AD271" i="1"/>
  <c r="AE271" i="1" s="1"/>
  <c r="AD270" i="1"/>
  <c r="AE270" i="1" s="1"/>
  <c r="AD269" i="1"/>
  <c r="AE269" i="1" s="1"/>
  <c r="AD268" i="1"/>
  <c r="AE268" i="1" s="1"/>
  <c r="AD267" i="1"/>
  <c r="AE267" i="1" s="1"/>
  <c r="AD266" i="1"/>
  <c r="AE266" i="1" s="1"/>
  <c r="AD265" i="1"/>
  <c r="AE265" i="1" s="1"/>
  <c r="AD264" i="1"/>
  <c r="AE264" i="1" s="1"/>
  <c r="AD263" i="1"/>
  <c r="AE263" i="1" s="1"/>
  <c r="AD262" i="1"/>
  <c r="AE262" i="1" s="1"/>
  <c r="AD261" i="1"/>
  <c r="AE261" i="1" s="1"/>
  <c r="AD260" i="1"/>
  <c r="AE260" i="1" s="1"/>
  <c r="AD259" i="1"/>
  <c r="AE259" i="1" s="1"/>
  <c r="AD258" i="1"/>
  <c r="AE258" i="1" s="1"/>
  <c r="AD257" i="1"/>
  <c r="AE257" i="1" s="1"/>
  <c r="AD256" i="1"/>
  <c r="AE256" i="1" s="1"/>
  <c r="AD255" i="1"/>
  <c r="AE255" i="1" s="1"/>
  <c r="AD254" i="1"/>
  <c r="AE254" i="1" s="1"/>
  <c r="AD253" i="1"/>
  <c r="AE253" i="1" s="1"/>
  <c r="AD252" i="1"/>
  <c r="AE252" i="1" s="1"/>
  <c r="AD251" i="1"/>
  <c r="AE251" i="1" s="1"/>
  <c r="AD250" i="1"/>
  <c r="AE250" i="1" s="1"/>
  <c r="AD249" i="1"/>
  <c r="AE249" i="1" s="1"/>
  <c r="AD248" i="1"/>
  <c r="AE248" i="1" s="1"/>
  <c r="AD247" i="1"/>
  <c r="AE247" i="1" s="1"/>
  <c r="AD246" i="1"/>
  <c r="AE246" i="1" s="1"/>
  <c r="AD245" i="1"/>
  <c r="AE245" i="1" s="1"/>
  <c r="AD244" i="1"/>
  <c r="AE244" i="1" s="1"/>
  <c r="AD243" i="1"/>
  <c r="AE243" i="1" s="1"/>
  <c r="AD242" i="1"/>
  <c r="AE242" i="1" s="1"/>
  <c r="AD241" i="1"/>
  <c r="AE241" i="1" s="1"/>
  <c r="AD240" i="1"/>
  <c r="AE240" i="1" s="1"/>
  <c r="AD239" i="1"/>
  <c r="AE239" i="1" s="1"/>
  <c r="AD238" i="1"/>
  <c r="AE238" i="1" s="1"/>
  <c r="AD237" i="1"/>
  <c r="AE237" i="1" s="1"/>
  <c r="AD236" i="1"/>
  <c r="AE236" i="1" s="1"/>
  <c r="AD235" i="1"/>
  <c r="AE235" i="1" s="1"/>
  <c r="AD234" i="1"/>
  <c r="AE234" i="1" s="1"/>
  <c r="AD233" i="1"/>
  <c r="AE233" i="1" s="1"/>
  <c r="AD232" i="1"/>
  <c r="AE232" i="1" s="1"/>
  <c r="AD231" i="1"/>
  <c r="AE231" i="1" s="1"/>
  <c r="AD230" i="1"/>
  <c r="AE230" i="1" s="1"/>
  <c r="AD229" i="1"/>
  <c r="AE229" i="1" s="1"/>
  <c r="AD228" i="1"/>
  <c r="AE228" i="1" s="1"/>
  <c r="AD227" i="1"/>
  <c r="AE227" i="1" s="1"/>
  <c r="AD226" i="1"/>
  <c r="AE226" i="1" s="1"/>
  <c r="AD225" i="1"/>
  <c r="AE225" i="1" s="1"/>
  <c r="AD224" i="1"/>
  <c r="AE224" i="1" s="1"/>
  <c r="AD223" i="1"/>
  <c r="AE223" i="1" s="1"/>
  <c r="AD222" i="1"/>
  <c r="AE222" i="1" s="1"/>
  <c r="AD221" i="1"/>
  <c r="AE221" i="1" s="1"/>
  <c r="AD220" i="1"/>
  <c r="AE220" i="1" s="1"/>
  <c r="AD219" i="1"/>
  <c r="AE219" i="1" s="1"/>
  <c r="AD218" i="1"/>
  <c r="AE218" i="1" s="1"/>
  <c r="AD217" i="1"/>
  <c r="AE217" i="1" s="1"/>
  <c r="AD216" i="1"/>
  <c r="AE216" i="1" s="1"/>
  <c r="AD215" i="1"/>
  <c r="AE215" i="1" s="1"/>
  <c r="AD214" i="1"/>
  <c r="AE214" i="1" s="1"/>
  <c r="AD213" i="1"/>
  <c r="AE213" i="1" s="1"/>
  <c r="AD212" i="1"/>
  <c r="AE212" i="1" s="1"/>
  <c r="AD211" i="1"/>
  <c r="AE211" i="1" s="1"/>
  <c r="AD210" i="1"/>
  <c r="AE210" i="1" s="1"/>
  <c r="AD209" i="1"/>
  <c r="AE209" i="1" s="1"/>
  <c r="AD208" i="1"/>
  <c r="AE208" i="1" s="1"/>
  <c r="AD207" i="1"/>
  <c r="AE207" i="1" s="1"/>
  <c r="AD206" i="1"/>
  <c r="AE206" i="1" s="1"/>
  <c r="AD205" i="1"/>
  <c r="AE205" i="1" s="1"/>
  <c r="AD204" i="1"/>
  <c r="AE204" i="1" s="1"/>
  <c r="AD203" i="1"/>
  <c r="AE203" i="1" s="1"/>
  <c r="AD202" i="1"/>
  <c r="AE202" i="1" s="1"/>
  <c r="AD201" i="1"/>
  <c r="AE201" i="1" s="1"/>
  <c r="AD200" i="1"/>
  <c r="AE200" i="1" s="1"/>
  <c r="AD199" i="1"/>
  <c r="AE199" i="1" s="1"/>
  <c r="AD198" i="1"/>
  <c r="AE198" i="1" s="1"/>
  <c r="AD197" i="1"/>
  <c r="AE197" i="1" s="1"/>
  <c r="AD196" i="1"/>
  <c r="AE196" i="1" s="1"/>
  <c r="AD195" i="1"/>
  <c r="AE195" i="1" s="1"/>
  <c r="AD194" i="1"/>
  <c r="AE194" i="1" s="1"/>
  <c r="AD193" i="1"/>
  <c r="AE193" i="1" s="1"/>
  <c r="AD192" i="1"/>
  <c r="AE192" i="1" s="1"/>
  <c r="AD191" i="1"/>
  <c r="AE191" i="1" s="1"/>
  <c r="AD190" i="1"/>
  <c r="AE190" i="1" s="1"/>
  <c r="AD189" i="1"/>
  <c r="AE189" i="1" s="1"/>
  <c r="AD188" i="1"/>
  <c r="AE188" i="1" s="1"/>
  <c r="AD187" i="1"/>
  <c r="AE187" i="1" s="1"/>
  <c r="AD186" i="1"/>
  <c r="AE186" i="1" s="1"/>
  <c r="AD185" i="1"/>
  <c r="AE185" i="1" s="1"/>
  <c r="AD184" i="1"/>
  <c r="AE184" i="1" s="1"/>
  <c r="AD183" i="1"/>
  <c r="AE183" i="1" s="1"/>
  <c r="AD182" i="1"/>
  <c r="AE182" i="1" s="1"/>
  <c r="AD181" i="1"/>
  <c r="AE181" i="1" s="1"/>
  <c r="AD180" i="1"/>
  <c r="AE180" i="1" s="1"/>
  <c r="AD179" i="1"/>
  <c r="AE179" i="1" s="1"/>
  <c r="AD178" i="1"/>
  <c r="AE178" i="1" s="1"/>
  <c r="AD177" i="1"/>
  <c r="AE177" i="1" s="1"/>
  <c r="AD176" i="1"/>
  <c r="AE176" i="1" s="1"/>
  <c r="AD175" i="1"/>
  <c r="AE175" i="1" s="1"/>
  <c r="AD174" i="1"/>
  <c r="AE174" i="1" s="1"/>
  <c r="AD173" i="1"/>
  <c r="AE173" i="1" s="1"/>
  <c r="AD172" i="1"/>
  <c r="AE172" i="1" s="1"/>
  <c r="AD171" i="1"/>
  <c r="AE171" i="1" s="1"/>
  <c r="AD170" i="1"/>
  <c r="AE170" i="1" s="1"/>
  <c r="AD169" i="1"/>
  <c r="AE169" i="1" s="1"/>
  <c r="AD168" i="1"/>
  <c r="AE168" i="1" s="1"/>
  <c r="AD167" i="1"/>
  <c r="AE167" i="1" s="1"/>
  <c r="AD166" i="1"/>
  <c r="AE166" i="1" s="1"/>
  <c r="AD165" i="1"/>
  <c r="AE165" i="1" s="1"/>
  <c r="AD164" i="1"/>
  <c r="AE164" i="1" s="1"/>
  <c r="AD163" i="1"/>
  <c r="AE163" i="1" s="1"/>
  <c r="AD162" i="1"/>
  <c r="AE162" i="1" s="1"/>
  <c r="AD161" i="1"/>
  <c r="AE161" i="1" s="1"/>
  <c r="AD160" i="1"/>
  <c r="AE160" i="1" s="1"/>
  <c r="AD159" i="1"/>
  <c r="AE159" i="1" s="1"/>
  <c r="AD158" i="1"/>
  <c r="AE158" i="1" s="1"/>
  <c r="AD157" i="1"/>
  <c r="AE157" i="1" s="1"/>
  <c r="AD156" i="1"/>
  <c r="AE156" i="1" s="1"/>
  <c r="AD155" i="1"/>
  <c r="AE155" i="1" s="1"/>
  <c r="AD154" i="1"/>
  <c r="AE154" i="1" s="1"/>
  <c r="AD153" i="1"/>
  <c r="AE153" i="1" s="1"/>
  <c r="AD152" i="1"/>
  <c r="AE152" i="1" s="1"/>
  <c r="AD151" i="1"/>
  <c r="AE151" i="1" s="1"/>
  <c r="AD150" i="1"/>
  <c r="AE150" i="1" s="1"/>
  <c r="AD149" i="1"/>
  <c r="AE149" i="1" s="1"/>
  <c r="AD148" i="1"/>
  <c r="AE148" i="1" s="1"/>
  <c r="AD147" i="1"/>
  <c r="AE147" i="1" s="1"/>
  <c r="AD146" i="1"/>
  <c r="AE146" i="1" s="1"/>
  <c r="AD145" i="1"/>
  <c r="AE145" i="1" s="1"/>
  <c r="AD144" i="1"/>
  <c r="AE144" i="1" s="1"/>
  <c r="AD143" i="1"/>
  <c r="AE143" i="1" s="1"/>
  <c r="AD142" i="1"/>
  <c r="AE142" i="1" s="1"/>
  <c r="AD141" i="1"/>
  <c r="AE141" i="1" s="1"/>
  <c r="AD140" i="1"/>
  <c r="AE140" i="1" s="1"/>
  <c r="AD139" i="1"/>
  <c r="AE139" i="1" s="1"/>
  <c r="AD138" i="1"/>
  <c r="AE138" i="1" s="1"/>
  <c r="AD137" i="1"/>
  <c r="AE137" i="1" s="1"/>
  <c r="AD136" i="1"/>
  <c r="AE136" i="1" s="1"/>
  <c r="AD135" i="1"/>
  <c r="AE135" i="1" s="1"/>
  <c r="AD134" i="1"/>
  <c r="AE134" i="1" s="1"/>
  <c r="AD133" i="1"/>
  <c r="AE133" i="1" s="1"/>
  <c r="AD132" i="1"/>
  <c r="AE132" i="1" s="1"/>
  <c r="AD131" i="1"/>
  <c r="AE131" i="1" s="1"/>
  <c r="AD130" i="1"/>
  <c r="AE130" i="1" s="1"/>
  <c r="AD129" i="1"/>
  <c r="AE129" i="1" s="1"/>
  <c r="AD128" i="1"/>
  <c r="AE128" i="1" s="1"/>
  <c r="AD127" i="1"/>
  <c r="AE127" i="1" s="1"/>
  <c r="AD126" i="1"/>
  <c r="AE126" i="1" s="1"/>
  <c r="AD125" i="1"/>
  <c r="AE125" i="1" s="1"/>
  <c r="AD124" i="1"/>
  <c r="AE124" i="1" s="1"/>
  <c r="AD123" i="1"/>
  <c r="AE123" i="1" s="1"/>
  <c r="AD122" i="1"/>
  <c r="AE122" i="1" s="1"/>
  <c r="AD121" i="1"/>
  <c r="AE121" i="1" s="1"/>
  <c r="AD120" i="1"/>
  <c r="AE120" i="1" s="1"/>
  <c r="AD119" i="1"/>
  <c r="AE119" i="1" s="1"/>
  <c r="AD118" i="1"/>
  <c r="AE118" i="1" s="1"/>
  <c r="AD117" i="1"/>
  <c r="AE117" i="1" s="1"/>
  <c r="AD116" i="1"/>
  <c r="AE116" i="1" s="1"/>
  <c r="AD115" i="1"/>
  <c r="AE115" i="1" s="1"/>
  <c r="AD114" i="1"/>
  <c r="AE114" i="1" s="1"/>
  <c r="AD113" i="1"/>
  <c r="AE113" i="1" s="1"/>
  <c r="AD112" i="1"/>
  <c r="AE112" i="1" s="1"/>
  <c r="AD111" i="1"/>
  <c r="AE111" i="1" s="1"/>
  <c r="AD110" i="1"/>
  <c r="AE110" i="1" s="1"/>
  <c r="AD109" i="1"/>
  <c r="AE109" i="1" s="1"/>
  <c r="AD108" i="1"/>
  <c r="AE108" i="1" s="1"/>
  <c r="AD107" i="1"/>
  <c r="AE107" i="1" s="1"/>
  <c r="AD106" i="1"/>
  <c r="AE106" i="1" s="1"/>
  <c r="AD105" i="1"/>
  <c r="AE105" i="1" s="1"/>
  <c r="AD104" i="1"/>
  <c r="AE104" i="1" s="1"/>
  <c r="AD103" i="1"/>
  <c r="AE103" i="1" s="1"/>
  <c r="AD102" i="1"/>
  <c r="AE102" i="1" s="1"/>
  <c r="AD101" i="1"/>
  <c r="AE101" i="1" s="1"/>
  <c r="AD100" i="1"/>
  <c r="AE100" i="1" s="1"/>
  <c r="AD99" i="1"/>
  <c r="AE99" i="1" s="1"/>
  <c r="AD98" i="1"/>
  <c r="AE98" i="1" s="1"/>
  <c r="AD97" i="1"/>
  <c r="AE97" i="1" s="1"/>
  <c r="AD96" i="1"/>
  <c r="AE96" i="1" s="1"/>
  <c r="AD95" i="1"/>
  <c r="AE95" i="1" s="1"/>
  <c r="AD94" i="1"/>
  <c r="AE94" i="1" s="1"/>
  <c r="AD93" i="1"/>
  <c r="AE93" i="1" s="1"/>
  <c r="AD92" i="1"/>
  <c r="AE92" i="1" s="1"/>
  <c r="AD91" i="1"/>
  <c r="AE91" i="1" s="1"/>
  <c r="AD90" i="1"/>
  <c r="AE90" i="1" s="1"/>
  <c r="AD89" i="1"/>
  <c r="AE89" i="1" s="1"/>
  <c r="AD88" i="1"/>
  <c r="AE88" i="1" s="1"/>
  <c r="AD87" i="1"/>
  <c r="AE87" i="1" s="1"/>
  <c r="AD86" i="1"/>
  <c r="AE86" i="1" s="1"/>
  <c r="AD85" i="1"/>
  <c r="AE85" i="1" s="1"/>
  <c r="AD84" i="1"/>
  <c r="AE84" i="1" s="1"/>
  <c r="AD83" i="1"/>
  <c r="AE83" i="1" s="1"/>
  <c r="AD82" i="1"/>
  <c r="AE82" i="1" s="1"/>
  <c r="AD81" i="1"/>
  <c r="AE81" i="1" s="1"/>
  <c r="AD80" i="1"/>
  <c r="AE80" i="1" s="1"/>
  <c r="AD79" i="1"/>
  <c r="AE79" i="1" s="1"/>
  <c r="AD78" i="1"/>
  <c r="AE78" i="1" s="1"/>
  <c r="AD77" i="1"/>
  <c r="AE77" i="1" s="1"/>
  <c r="AD76" i="1"/>
  <c r="AE76" i="1" s="1"/>
  <c r="AD75" i="1"/>
  <c r="AE75" i="1" s="1"/>
  <c r="AD74" i="1"/>
  <c r="AE74" i="1" s="1"/>
  <c r="AD73" i="1"/>
  <c r="AE73" i="1" s="1"/>
  <c r="AD72" i="1"/>
  <c r="AE72" i="1" s="1"/>
  <c r="AD71" i="1"/>
  <c r="AE71" i="1" s="1"/>
  <c r="AD70" i="1"/>
  <c r="AE70" i="1" s="1"/>
  <c r="AD69" i="1"/>
  <c r="AE69" i="1" s="1"/>
  <c r="AD68" i="1"/>
  <c r="AE68" i="1" s="1"/>
  <c r="AD67" i="1"/>
  <c r="AE67" i="1" s="1"/>
  <c r="AD66" i="1"/>
  <c r="AE66" i="1" s="1"/>
  <c r="AD65" i="1"/>
  <c r="AE65" i="1" s="1"/>
  <c r="AD64" i="1"/>
  <c r="AE64" i="1" s="1"/>
  <c r="AD63" i="1"/>
  <c r="AE63" i="1" s="1"/>
  <c r="AD62" i="1"/>
  <c r="AE62" i="1" s="1"/>
  <c r="AD61" i="1"/>
  <c r="AE61" i="1" s="1"/>
  <c r="AD60" i="1"/>
  <c r="AE60" i="1" s="1"/>
  <c r="AD59" i="1"/>
  <c r="AE59" i="1" s="1"/>
  <c r="AD58" i="1"/>
  <c r="AE58" i="1" s="1"/>
  <c r="AD57" i="1"/>
  <c r="AE57" i="1" s="1"/>
  <c r="AD56" i="1"/>
  <c r="AE56" i="1" s="1"/>
  <c r="AD55" i="1"/>
  <c r="AE55" i="1" s="1"/>
  <c r="AD54" i="1"/>
  <c r="AE54" i="1" s="1"/>
  <c r="AD53" i="1"/>
  <c r="AE53" i="1" s="1"/>
  <c r="AD52" i="1"/>
  <c r="AE52" i="1" s="1"/>
  <c r="AD51" i="1"/>
  <c r="AE51" i="1" s="1"/>
  <c r="AD50" i="1"/>
  <c r="AE50" i="1" s="1"/>
  <c r="AD49" i="1"/>
  <c r="AE49" i="1" s="1"/>
  <c r="AD48" i="1"/>
  <c r="AE48" i="1" s="1"/>
  <c r="AD47" i="1"/>
  <c r="AE47" i="1" s="1"/>
  <c r="AD46" i="1"/>
  <c r="AE46" i="1" s="1"/>
  <c r="AD45" i="1"/>
  <c r="AE45" i="1" s="1"/>
  <c r="AD44" i="1"/>
  <c r="AE44" i="1" s="1"/>
  <c r="AD43" i="1"/>
  <c r="AE43" i="1" s="1"/>
  <c r="AD42" i="1"/>
  <c r="AE42" i="1" s="1"/>
  <c r="AD41" i="1"/>
  <c r="AE41" i="1" s="1"/>
  <c r="AD40" i="1"/>
  <c r="AE40" i="1" s="1"/>
  <c r="AD39" i="1"/>
  <c r="AE39" i="1" s="1"/>
  <c r="AD38" i="1"/>
  <c r="AE38" i="1" s="1"/>
  <c r="AD37" i="1"/>
  <c r="AE37" i="1" s="1"/>
  <c r="AD36" i="1"/>
  <c r="AE36" i="1" s="1"/>
  <c r="AD35" i="1"/>
  <c r="AE35" i="1" s="1"/>
  <c r="AD34" i="1"/>
  <c r="AE34" i="1" s="1"/>
  <c r="AD33" i="1"/>
  <c r="AE33" i="1" s="1"/>
  <c r="AD32" i="1"/>
  <c r="AE32" i="1" s="1"/>
  <c r="AD31" i="1"/>
  <c r="AE31" i="1" s="1"/>
  <c r="AD30" i="1"/>
  <c r="AE30" i="1" s="1"/>
  <c r="AD29" i="1"/>
  <c r="AE29" i="1" s="1"/>
  <c r="AD28" i="1"/>
  <c r="AE28" i="1" s="1"/>
  <c r="AD27" i="1"/>
  <c r="AE27" i="1" s="1"/>
  <c r="AD26" i="1"/>
  <c r="AE26" i="1" s="1"/>
  <c r="AD25" i="1"/>
  <c r="AE25" i="1" s="1"/>
  <c r="AD24" i="1"/>
  <c r="AE24" i="1" s="1"/>
  <c r="AD23" i="1"/>
  <c r="AE23" i="1" s="1"/>
  <c r="AD22" i="1"/>
  <c r="AE22" i="1" s="1"/>
  <c r="AD21" i="1"/>
  <c r="AE21" i="1" s="1"/>
  <c r="AD20" i="1"/>
  <c r="AE20" i="1" s="1"/>
  <c r="AD19" i="1"/>
  <c r="AE19" i="1" s="1"/>
  <c r="AD18" i="1"/>
  <c r="AE18" i="1" s="1"/>
  <c r="AD17" i="1"/>
  <c r="AE17" i="1" s="1"/>
  <c r="AD16" i="1"/>
  <c r="AE16" i="1" s="1"/>
  <c r="AD15" i="1"/>
  <c r="AE15" i="1" s="1"/>
  <c r="AD14" i="1"/>
  <c r="AE14" i="1" s="1"/>
  <c r="AD13" i="1"/>
  <c r="AE13" i="1" s="1"/>
  <c r="AD12" i="1"/>
  <c r="AE12" i="1" s="1"/>
  <c r="AD11" i="1"/>
  <c r="AE11" i="1" s="1"/>
  <c r="AD10" i="1"/>
  <c r="AE10" i="1" s="1"/>
  <c r="AD9" i="1"/>
  <c r="AE9" i="1" s="1"/>
  <c r="AD8" i="1"/>
  <c r="AE8" i="1" s="1"/>
  <c r="AD7" i="1"/>
  <c r="AE7" i="1" s="1"/>
  <c r="AD6" i="1"/>
  <c r="AE6" i="1" s="1"/>
  <c r="AD5" i="1"/>
  <c r="AE5" i="1" s="1"/>
  <c r="AD4" i="1"/>
  <c r="AE4" i="1" s="1"/>
  <c r="AD3" i="1"/>
  <c r="AE3" i="1" s="1"/>
  <c r="AD2" i="1"/>
  <c r="AE2" i="1" s="1"/>
</calcChain>
</file>

<file path=xl/sharedStrings.xml><?xml version="1.0" encoding="utf-8"?>
<sst xmlns="http://schemas.openxmlformats.org/spreadsheetml/2006/main" count="2308" uniqueCount="1315">
  <si>
    <t>2019</t>
  </si>
  <si>
    <t>Firma</t>
  </si>
  <si>
    <t>NIP</t>
  </si>
  <si>
    <t>PK</t>
  </si>
  <si>
    <t>Opis</t>
  </si>
  <si>
    <t>Lista200</t>
  </si>
  <si>
    <t>Rodzaj właściciela</t>
  </si>
  <si>
    <t>Przychody ze sprzedaży__2024</t>
  </si>
  <si>
    <t>Wynik operacyjny__2024</t>
  </si>
  <si>
    <t>Wynik finansowy brutto__2024</t>
  </si>
  <si>
    <t>Wynik finansowy netto__2024</t>
  </si>
  <si>
    <t>Amortyzacja__2024</t>
  </si>
  <si>
    <t>Przychody z eksportu (sprzedaż po zagranicę kraju)__2024</t>
  </si>
  <si>
    <t>Zatrudnienie (średnioroczne w etatach)__2024</t>
  </si>
  <si>
    <t>Wynagrodzenia z narzutami__2024</t>
  </si>
  <si>
    <t>Suma bilansowa__2024</t>
  </si>
  <si>
    <t>Aktywa trwałe__2024</t>
  </si>
  <si>
    <t>Aktywa obrotowe__2024</t>
  </si>
  <si>
    <t>Kapitały własne__2024</t>
  </si>
  <si>
    <t>Zobowiązania i rezerwy na zobowiązania__2024</t>
  </si>
  <si>
    <t>Przychody ze sprzedaży__2019</t>
  </si>
  <si>
    <t>Wynik operacyjny__2019</t>
  </si>
  <si>
    <t>Wynik finansowy brutto__2019</t>
  </si>
  <si>
    <t>Wynik finansowy netto__2019</t>
  </si>
  <si>
    <t>Amortyzacja__2019</t>
  </si>
  <si>
    <t>Przychody z eksportu__2019</t>
  </si>
  <si>
    <t>Zatrudnienie (średnioroczne w etatach)__2019</t>
  </si>
  <si>
    <t>Wynagrodzenia (z narzutami)__2019</t>
  </si>
  <si>
    <t>Aktywa__2019</t>
  </si>
  <si>
    <t>Aktywa trwałe__2019</t>
  </si>
  <si>
    <t>Aktywa obrotowe__2019</t>
  </si>
  <si>
    <t>Kapitały własne__2019</t>
  </si>
  <si>
    <t>Zobowiązania razem__2019</t>
  </si>
  <si>
    <t>1011</t>
  </si>
  <si>
    <t>1012</t>
  </si>
  <si>
    <t>1013</t>
  </si>
  <si>
    <t>1020</t>
  </si>
  <si>
    <t>1039</t>
  </si>
  <si>
    <t>1041</t>
  </si>
  <si>
    <t>1051</t>
  </si>
  <si>
    <t>1062</t>
  </si>
  <si>
    <t>1081</t>
  </si>
  <si>
    <t>1082</t>
  </si>
  <si>
    <t>1084</t>
  </si>
  <si>
    <t>1091</t>
  </si>
  <si>
    <t>1101</t>
  </si>
  <si>
    <t>1105</t>
  </si>
  <si>
    <t>1107</t>
  </si>
  <si>
    <t>1200</t>
  </si>
  <si>
    <t>1392</t>
  </si>
  <si>
    <t>1511</t>
  </si>
  <si>
    <t>1621</t>
  </si>
  <si>
    <t>1712</t>
  </si>
  <si>
    <t>1722</t>
  </si>
  <si>
    <t>1920</t>
  </si>
  <si>
    <t>Orlen SA GK, Płock</t>
  </si>
  <si>
    <t>Jeronimo Martins Polska SA, Kostrzyn</t>
  </si>
  <si>
    <t>Totalizator Sportowy sp. z o.o. GK, Warszawa</t>
  </si>
  <si>
    <t>PGE Polska Grupa Energetyczna GK SA, Lublin</t>
  </si>
  <si>
    <t>Lidl sp. z o.o. sp.k., Tarnowo Podgórne</t>
  </si>
  <si>
    <t>KGHM Polska Miedź SA GK, Lubin</t>
  </si>
  <si>
    <t>Enea SA GK, Poznań</t>
  </si>
  <si>
    <t>Tauron Polska Energia SA GK, Katowice</t>
  </si>
  <si>
    <t>Eurocash SA GK, Komorniki</t>
  </si>
  <si>
    <t>Dino Polska SA GK, Krotoszyn</t>
  </si>
  <si>
    <t>Polskie Sieci Elektroenergetyczne SA, Konstancin 1)</t>
  </si>
  <si>
    <t>Volkswagen Poznań sp. z o.o., Poznań 1)</t>
  </si>
  <si>
    <t>LG Energy Solution Wrocław sp. z o.o., Wrocław</t>
  </si>
  <si>
    <t>Grupa Kapitałowa Specjał sp. z o.o., Warszawa</t>
  </si>
  <si>
    <t xml:space="preserve">Żabka Polska sp. z o.o. GK, Poznań </t>
  </si>
  <si>
    <t>Energa SA GK, Gdańsk</t>
  </si>
  <si>
    <t>Toyota Central Europe sp. z o.o., Warszawa</t>
  </si>
  <si>
    <t>ArcelorMittal Poland SA, Dąbrowa Górnicza  2)</t>
  </si>
  <si>
    <t>Volkswagen Group Polska sp. z o.o., Poznań 2)</t>
  </si>
  <si>
    <t>LPP SA GK, Gdańsk</t>
  </si>
  <si>
    <t>Inter Cars SA GK, Warszawa</t>
  </si>
  <si>
    <t xml:space="preserve">Pelion SA GK, Łódź </t>
  </si>
  <si>
    <t>Terg SA GK, Złotów</t>
  </si>
  <si>
    <t>Philip Morris Polska Distribution sp. z o.o., Kraków</t>
  </si>
  <si>
    <t>Asseco Poland SA GK, Rzeszów</t>
  </si>
  <si>
    <t>BP Europa SE, Kraków 2)</t>
  </si>
  <si>
    <t>FCA Poland sp. z o.o., Bielsko-Biała</t>
  </si>
  <si>
    <t>Grupa Kapitałowa Maspex SA , Wadowice 1)</t>
  </si>
  <si>
    <t>Rossmann Supermarkety Drogeryjne Polska sp. z o.o., Łódź</t>
  </si>
  <si>
    <t>AB SA GK, Magnice</t>
  </si>
  <si>
    <t>Jastrzębska Spółka Węglowa SA, Jastrzębie–Zdrój</t>
  </si>
  <si>
    <t>GK Cyfrowy Polsat SA, Warszawa</t>
  </si>
  <si>
    <t>JTI Polska sp. z o.o., Gostków Stary</t>
  </si>
  <si>
    <t>Unimot SA GK, Zawadzkie</t>
  </si>
  <si>
    <t>Grupa CanPack SA, Kraków 2)</t>
  </si>
  <si>
    <t>Kaufland Polska Markety sp. z o.o. sp.k., Wrocław</t>
  </si>
  <si>
    <t>Anwim SA GK, Warszawa</t>
  </si>
  <si>
    <t>Man Trucks sp. z o.o., Niepołomice</t>
  </si>
  <si>
    <t>Grupa Azoty SA GK, Tarnów</t>
  </si>
  <si>
    <t>Veolia Energia Polska SA GK, Warszawa</t>
  </si>
  <si>
    <t>PKP Polskie Linie Kolejowe SA GK, Warszawa</t>
  </si>
  <si>
    <t>Orange Polska SA GK, Warszawa</t>
  </si>
  <si>
    <t xml:space="preserve">Grupa Neuca SA, Toruń </t>
  </si>
  <si>
    <t>LG Electronics Mława sp. z o.o., Mława 1)</t>
  </si>
  <si>
    <t>Animex Foods sp. z o.o., Warszawa</t>
  </si>
  <si>
    <t xml:space="preserve">Cedrob SA GK, Ciechanów </t>
  </si>
  <si>
    <t>Grupa PKP SA, Warszawa 1)</t>
  </si>
  <si>
    <t>Eurocash Serwis sp. z o.o., Komorniki</t>
  </si>
  <si>
    <t>Euro-Net sp. z o.o., Warszawa</t>
  </si>
  <si>
    <t xml:space="preserve">Auchan Polska sp. z o.o., Piaseczno </t>
  </si>
  <si>
    <t>Grupa Muszkieterów (Intermarché, Bricomarché), Swadzim</t>
  </si>
  <si>
    <t xml:space="preserve">Shell Polska sp. z o.o GK, Warszawa  </t>
  </si>
  <si>
    <t>Allegro.eu SA, Poznań</t>
  </si>
  <si>
    <t>Modivo SA GK, Polkowice</t>
  </si>
  <si>
    <t xml:space="preserve">Grupa P4 sp. z o.o., Warszawa </t>
  </si>
  <si>
    <t xml:space="preserve">Spółdzielnia Mleczarska Mlekovita, Wysokie Mazowieckie </t>
  </si>
  <si>
    <t>Mercedes-Benz Polska sp. z o.o., Warszawa</t>
  </si>
  <si>
    <t>Polskie Linie Lotnicze LOT SA, Warszawa 2)</t>
  </si>
  <si>
    <t>Polska Grupa Górnicza SA GK, Katowice</t>
  </si>
  <si>
    <t>BSH Sprzęt Gosp. Domowego sp. z o.o., Warszawa</t>
  </si>
  <si>
    <t>Carrefour Polska sp. z o.o., Warszawa 2)</t>
  </si>
  <si>
    <t xml:space="preserve">Castorama Polska sp. z o.o., Warszawa </t>
  </si>
  <si>
    <t>Farmacol SA GK, Katowice</t>
  </si>
  <si>
    <t>British American Tobacco Polska Trading sp. z o.o., Warszawa</t>
  </si>
  <si>
    <t>Budimex SA GK, Warszawa</t>
  </si>
  <si>
    <t>Leroy Merlin Polska sp. z o.o., Warszawa</t>
  </si>
  <si>
    <t>Samsung Electronics Polska sp. z o.o., Warszawa 1)</t>
  </si>
  <si>
    <t xml:space="preserve">Grupa Kapitałowa Synthos SA, Oświęcim </t>
  </si>
  <si>
    <t xml:space="preserve">Volkswagen Motor Polska sp. z o.o., Polkowice </t>
  </si>
  <si>
    <t>Stokrotka sp. z o.o., Lublin 2)</t>
  </si>
  <si>
    <t>Cargill Poland sp. z o.o., Warszawa</t>
  </si>
  <si>
    <t>Circle K Polska sp. z o.o., Warszawa</t>
  </si>
  <si>
    <t xml:space="preserve">Poczta Polska SA GK, Warszawa </t>
  </si>
  <si>
    <t>Polkomtel sp. z o.o., Warszawa 2)</t>
  </si>
  <si>
    <t>Polska Spółka Gazownictwa sp. z o.o., Tarnów</t>
  </si>
  <si>
    <t xml:space="preserve">Spółdzielnia Mleczarska Mlekpol, Grajewo </t>
  </si>
  <si>
    <t xml:space="preserve">T-Mobile Polska SA, Warszawa </t>
  </si>
  <si>
    <t>Polska Grupa Farmaceutyczna SA GK, Łódź 2)</t>
  </si>
  <si>
    <t>CEDC International sp. z o.o., Oborniki</t>
  </si>
  <si>
    <t>Makro Cash and Carry SA, Warszawa 1)</t>
  </si>
  <si>
    <t>Itaka Holdings sp. z o.o. GK, Opole</t>
  </si>
  <si>
    <t>Grupa Strabag w Polsce, Pruszków 2)</t>
  </si>
  <si>
    <t>Netto sp. z o.o., Kobylanka</t>
  </si>
  <si>
    <t>Ikea Retail sp. z o.o., Janki</t>
  </si>
  <si>
    <t>MOL Polska sp. z o.o., Gdańsk</t>
  </si>
  <si>
    <t>Renault Polska sp. z o.o., Warszawa</t>
  </si>
  <si>
    <t>KGHM Metraco SA GK, Legnica</t>
  </si>
  <si>
    <t>Mars Polska sp. z o.o., Sochaczew</t>
  </si>
  <si>
    <t>Viterra Polska sp. z o.o., Gdańsk</t>
  </si>
  <si>
    <t>Fortum Marketing and Sales Polska, Gdańsk 2)</t>
  </si>
  <si>
    <t>Electrolux Poland sp. z o.o., Warszawa</t>
  </si>
  <si>
    <t>ALSO Polska sp. z o.o. GK, Warszawa</t>
  </si>
  <si>
    <t>Grupa Sokołów SA, Sokołów Podlaski</t>
  </si>
  <si>
    <t>Toyota Motor Manufacturing Poland sp. z o.o., Wałbrzych</t>
  </si>
  <si>
    <t>IKEA Industry Poland sp. z o.o., Goleniów</t>
  </si>
  <si>
    <t>Imperial Tobacco Polska SA, Tarnowo Podgórne</t>
  </si>
  <si>
    <t>PGE Energetyka Kolejowa SA, Warszawa</t>
  </si>
  <si>
    <t>Arcturus sp. z o.o., Szczecin</t>
  </si>
  <si>
    <t>PKP InterCity SA, Warszawa</t>
  </si>
  <si>
    <t>Michelin Polska sp. z o.o., Olsztyn</t>
  </si>
  <si>
    <t>ZPR SA GK, Warszawa</t>
  </si>
  <si>
    <t>Coca-Cola HBC Polska sp. z o.o., Warszawa</t>
  </si>
  <si>
    <t>Polmlek sp. z o.o. GK, Warszawa</t>
  </si>
  <si>
    <t>Grupa Kęty SA GK, Kęty</t>
  </si>
  <si>
    <t>Oktan Energy &amp; V L Service sp. z o.o., Szczecin</t>
  </si>
  <si>
    <t>Boryszew SA GK, Sochaczew</t>
  </si>
  <si>
    <t>Mowi Poland SA, Ustka</t>
  </si>
  <si>
    <t>Kompania Piwowarska SA, Poznań</t>
  </si>
  <si>
    <t>Eko-Okna SA, Pietrowice Wielkie</t>
  </si>
  <si>
    <t>Zakłady Farmaceutyczne Polpharma SA GK, Starogard Gdański</t>
  </si>
  <si>
    <t>Wipasz SA GK, Olsztyn</t>
  </si>
  <si>
    <t>BEKO Poland Manufacturing sp. z o.o., Łódź</t>
  </si>
  <si>
    <t>TUI Poland sp. z o.o., Warszawa</t>
  </si>
  <si>
    <t>LUX-MED sp. z o.o. GK, Warszawa</t>
  </si>
  <si>
    <t>Volvo Polska sp. z o.o., Wrocław 1)</t>
  </si>
  <si>
    <t>STS SA, Katowice</t>
  </si>
  <si>
    <t>Signify Poland sp. z o.o., Piła</t>
  </si>
  <si>
    <t>Nestle Polska SA, Warszawa</t>
  </si>
  <si>
    <t>Urtica sp. z o.o., Wrocław 1)</t>
  </si>
  <si>
    <t>PKP Cargo SA GK, Warszawa</t>
  </si>
  <si>
    <t>Porsche Inter Auto Polska sp. z o.o., Warszawa</t>
  </si>
  <si>
    <t>Robert Bosch sp. z o.o., Warszawa</t>
  </si>
  <si>
    <t>Grupa Kapitałowa DPD Polska sp. z o.o., Warszawa 2)</t>
  </si>
  <si>
    <t>Tele-Fonika Kable SA GK, Myślenice</t>
  </si>
  <si>
    <t>Polenergia SA GK, Warszawa</t>
  </si>
  <si>
    <t>Veolia Energia SA, Warszawa</t>
  </si>
  <si>
    <t>Samsung Electronics Poland Manufacturing sp. z o.o., Wronki</t>
  </si>
  <si>
    <t>Grupa PSB Handel SA, Busko-Zdrój</t>
  </si>
  <si>
    <t>Solaris Bus &amp; Coach sp. z o.o., Owińska</t>
  </si>
  <si>
    <t>Saint Gobain Innovative Materials Polska sp. z o.o., Dąbrowa Górnicza</t>
  </si>
  <si>
    <t>Modivo SA GK, Zielona Góra</t>
  </si>
  <si>
    <t>Amazon Fulfillment Poland sp. z o.o., Warszawa</t>
  </si>
  <si>
    <t>Grupa TZMO SA, Toruń</t>
  </si>
  <si>
    <t>Auto Partner SA GK, Bieruń</t>
  </si>
  <si>
    <t>ALDI sp. z o.o., Chorzów 1)</t>
  </si>
  <si>
    <t>DE Heus sp. z o.o., Łęczyca</t>
  </si>
  <si>
    <t>TCL Operations Polska sp. z o.o., Żyrardów</t>
  </si>
  <si>
    <t>Transgourmet Polska sp. z o.o., Poznań</t>
  </si>
  <si>
    <t>Rainbow Tours SA GK, Łódź</t>
  </si>
  <si>
    <t>Porr SA, Warszawa</t>
  </si>
  <si>
    <t>Grupa Żywiec sp. z o.o., Żywiec</t>
  </si>
  <si>
    <t>Qemetica SA GK, Warszawa 1)</t>
  </si>
  <si>
    <t>Plichta sp. z o.o. sp.k., Wejherowo</t>
  </si>
  <si>
    <t>NGK Ceramics Polska sp. z o.o., Gliwice</t>
  </si>
  <si>
    <t>OGP Gaz -System SA, Warszawa 1)</t>
  </si>
  <si>
    <t>Havi Logistics sp. z o.o., Warszawa</t>
  </si>
  <si>
    <t>Węglokoks SA GK, Katowice</t>
  </si>
  <si>
    <t xml:space="preserve">Valeo Autosystemy sp. z o.o., Skawina </t>
  </si>
  <si>
    <t>Stellantis Poland sp. z o.o., Warszawa</t>
  </si>
  <si>
    <t>Stalprodukt SA GK, Bochnia</t>
  </si>
  <si>
    <t>Mondi Świecie sp. z o.o., Świecie</t>
  </si>
  <si>
    <t>KIA Polska sp. z o.o., Warszawa 1)</t>
  </si>
  <si>
    <t>Krajowa Grupa Spożywcza SA GK, Toruń</t>
  </si>
  <si>
    <t>Gobarto SA GK, Warszawa</t>
  </si>
  <si>
    <t>Lubelski Węgiel Bogdanka SA GK, Puchaczów</t>
  </si>
  <si>
    <t>Elemental Holding SA GK, Grodzisk Mazowiecki</t>
  </si>
  <si>
    <t>Agrolok sp. z o.o., Golub-Dobrzyń</t>
  </si>
  <si>
    <t>Scania Polska SA, Nadarzyn</t>
  </si>
  <si>
    <t>Reckitt Benckiser Production (Poland) sp. z o.o., Nowy Dwór Mazowiecki</t>
  </si>
  <si>
    <t xml:space="preserve">ZF Automotive Systems Poland sp. z o.o., Częstochowa </t>
  </si>
  <si>
    <t>Grupa Azoty Zakłady Azotowe Puławy SA GK, Puławy</t>
  </si>
  <si>
    <t>Ford Polska sp. z o.o., Warszawa</t>
  </si>
  <si>
    <t>Arctic Paper SA GK, Kostrzyn nad Odrą</t>
  </si>
  <si>
    <t>Amrest sp. z o.o., Wrocław 2)</t>
  </si>
  <si>
    <t>Benefit Systems SA GK, Warszawa</t>
  </si>
  <si>
    <t xml:space="preserve">Grupa Mondelez International w Polsce </t>
  </si>
  <si>
    <t>Impel SA GK, Wrocław</t>
  </si>
  <si>
    <t>Hyundai Motor Poland sp. z o.o., Warszawa</t>
  </si>
  <si>
    <t>Enter AIR sp. z o.o., Warszawa</t>
  </si>
  <si>
    <t xml:space="preserve">Celsa Huta Ostrowiec sp. z o.o. GK, Ostrowiec Św. </t>
  </si>
  <si>
    <t xml:space="preserve">TPV Displays Polska sp. z o.o., Gorzów Wlkp. </t>
  </si>
  <si>
    <t>Ingram Micro sp. z o.o., Warszawa</t>
  </si>
  <si>
    <t xml:space="preserve">Louis Dreyfus Commod Polska sp. z o.o., Warszawa </t>
  </si>
  <si>
    <t>Flextronics International Poland sp. z o.o., Tczew</t>
  </si>
  <si>
    <t>Barry Callebaut Manufacturing Polska sp. z o.o., Łódź</t>
  </si>
  <si>
    <t>Telewizja Polska SA w likwidacji, Warszawa 1)</t>
  </si>
  <si>
    <t>CMC Poland sp. z o.o., Zawiercie</t>
  </si>
  <si>
    <t>X-Kom sp. z o.o., Częstochowa</t>
  </si>
  <si>
    <t xml:space="preserve">Tameh Holding sp. z o.o. GK, Dąbrowa Górnicza </t>
  </si>
  <si>
    <t>ABB sp. z o.o., Warszawa</t>
  </si>
  <si>
    <t>Dom Development SA GK, Warszawa</t>
  </si>
  <si>
    <t>H &amp; M Hennes &amp; Mauritz sp. z o.o., Warszawa</t>
  </si>
  <si>
    <t>Lear Corporation Poland II sp. z o.o., Tychy</t>
  </si>
  <si>
    <t>Roche Polska sp. z o.o., Warszawa</t>
  </si>
  <si>
    <t>Empik SA GK, Warszawa</t>
  </si>
  <si>
    <t xml:space="preserve">Basf Polska sp. z o.o., Warszawa </t>
  </si>
  <si>
    <t>Superhobby Market Budowlany sp. z o.o., Warszawa</t>
  </si>
  <si>
    <t>Thyssenkrupp Materials Poland SA, Toruń</t>
  </si>
  <si>
    <t>Volvo Car Poland sp. z o.o., Warszawa</t>
  </si>
  <si>
    <t>Rafineria Gdańska sp. z o.o., Gdańsk</t>
  </si>
  <si>
    <t>Basell Orlen Polyolefins sp. z o.o., Płock</t>
  </si>
  <si>
    <t>Wywtórnia Sprzętu Komunikacyjnego Świdnik SA, Świdnik</t>
  </si>
  <si>
    <t>Man Truck &amp; Bus Polska sp. z o.o., Nadarzyn</t>
  </si>
  <si>
    <t>Decathlon sp. z o.o., Warszawa</t>
  </si>
  <si>
    <t>Erbud SA GK, Warszawa</t>
  </si>
  <si>
    <t>BorgWarner Poland sp. z o.o., Jasionka</t>
  </si>
  <si>
    <t>UBS Business Solutions Poland sp. z o.o., Kraków</t>
  </si>
  <si>
    <t>Aptiv Services Poland SA, Kraków</t>
  </si>
  <si>
    <t>Agri Plus sp. z o.o., Poznań</t>
  </si>
  <si>
    <t>Enter Air SA GK, Warszawa</t>
  </si>
  <si>
    <t>Kruk SA GK, Wrocław</t>
  </si>
  <si>
    <t>Lek SA, Stryków</t>
  </si>
  <si>
    <t>Jysk sp. z o.o., Gdańsk</t>
  </si>
  <si>
    <t>Man Bus sp. z o.o., Starachowice</t>
  </si>
  <si>
    <t>Alstom Polska SA, Warszawa</t>
  </si>
  <si>
    <t>Dell sp. z o.o., Warszawa</t>
  </si>
  <si>
    <t>Polimex Mostostal SA GK, Warszawa</t>
  </si>
  <si>
    <t>Nokia Solutions and Networks sp. z o.o., Warszawa</t>
  </si>
  <si>
    <t xml:space="preserve">E.ON Polska SA, Warszawa </t>
  </si>
  <si>
    <t>Okręgowa Spółdzielnia Mleczarska, Piątnica</t>
  </si>
  <si>
    <t>Eniq sp. z o.o., Katowice</t>
  </si>
  <si>
    <t>DHL eCommerce (Poland) sp. z o.o., Warszawa 1)</t>
  </si>
  <si>
    <t xml:space="preserve">Press Glass Holding SA, Konopiska </t>
  </si>
  <si>
    <t>Brembo Poland sp. z o.o., Dąbrowa Górnicza</t>
  </si>
  <si>
    <t>Mesko SA, Skarżysko-Kamienna</t>
  </si>
  <si>
    <t>Arcelormittal Distribution Solutions Poland sp. z o.o., Katowice</t>
  </si>
  <si>
    <t>Holcim Polska SA, Małogoszcz</t>
  </si>
  <si>
    <t>Anwil SA, Włocławek</t>
  </si>
  <si>
    <t>Hutchinson Poland sp. z o.o., Żywiec</t>
  </si>
  <si>
    <t>POLREGIO SA, Warszawa</t>
  </si>
  <si>
    <t>Superdrob SA, Karczew</t>
  </si>
  <si>
    <t>Carlsberg Polska sp. o.o., Warszawa 1)</t>
  </si>
  <si>
    <t>Fermy Drobiu Woźniak sp. z o.o., Rawicz</t>
  </si>
  <si>
    <t>Unibep SA GK, Bielsk Podlaski</t>
  </si>
  <si>
    <t>Faurecia Wałbrzych SA, Wałbrzych</t>
  </si>
  <si>
    <t>PUH Chemirol GK sp. z o.o., Mogilno</t>
  </si>
  <si>
    <t>Amica SA GK, Wronki</t>
  </si>
  <si>
    <t xml:space="preserve">GKN Driveline Polska sp. z o.o., Oleśnica </t>
  </si>
  <si>
    <t>Canal+ Polska SA, Warszawa</t>
  </si>
  <si>
    <t>ZEW Kogeneracja SA GK, Wrocław</t>
  </si>
  <si>
    <t>Action SA, Piaseczno</t>
  </si>
  <si>
    <t>Grupa Kapitałowa Remontowa Holding SA, Gdańsk</t>
  </si>
  <si>
    <t>Firma Oponiarska Dębica SA, Dębica</t>
  </si>
  <si>
    <t>Heesung Electronics Poland sp. z o.o., Mława</t>
  </si>
  <si>
    <t>Casinos Poland CP sp. z o.o., Warszawa</t>
  </si>
  <si>
    <t>Agata SA, Katowice</t>
  </si>
  <si>
    <t>Jeronimo Martins Drogerie i Farmacja sp. z o.o., Kostrzyn</t>
  </si>
  <si>
    <t>MM Kwidzyn sp. z o.o., Kwidzyn</t>
  </si>
  <si>
    <t>TVN SA GK, Warszawa</t>
  </si>
  <si>
    <t>Grupa Azoty Zakłady Chemiczne Police SA GK, Police</t>
  </si>
  <si>
    <t>CapGemini Polska sp. z o.o., Warszawa</t>
  </si>
  <si>
    <t>Ferrero Polska Commercial sp. z o.o., Warszawa</t>
  </si>
  <si>
    <t>Pfeifer &amp; Langen Polska SA, Poznań</t>
  </si>
  <si>
    <t>Pepsi-Cola General Bottlers Poland sp. z o.o., Warszawa</t>
  </si>
  <si>
    <t xml:space="preserve">McDonalds Polska sp. z o.o., Warszawa </t>
  </si>
  <si>
    <t>Netto Indygo sp. z o.o., Kobylanka</t>
  </si>
  <si>
    <t>PERN SA GK, Płock</t>
  </si>
  <si>
    <t>Zarmen sp. z o.o. GK, Warszawa</t>
  </si>
  <si>
    <t>CNH Industrial Polska sp. z o.o., Płock</t>
  </si>
  <si>
    <t>Pratt &amp; Whitney Rzeszów SA, Rzeszów</t>
  </si>
  <si>
    <t>Zara Polska sp. z o.o., Warszawa</t>
  </si>
  <si>
    <t>3M Wrocław sp. z o.o., Wrocław</t>
  </si>
  <si>
    <t>Aluprof SA, Bielsko-Biała</t>
  </si>
  <si>
    <t>Konsorcjum Stali SA GK, Zawiercie</t>
  </si>
  <si>
    <t>Bayer sp. z o.o., Warszawa</t>
  </si>
  <si>
    <t>Tenneco Silesia sp. z o.o., Czerwionka-Leszczyny</t>
  </si>
  <si>
    <t>L`Oreal Polska sp. z o.o., Warszawa</t>
  </si>
  <si>
    <t>Tameh Polska sp. z o.o., Dąbrowa Górnicza</t>
  </si>
  <si>
    <t>Amic Polska sp. z o.o., Warszawa</t>
  </si>
  <si>
    <t>PDF Slawex sp. z o.o., Lublin</t>
  </si>
  <si>
    <t>Brenntag Polska sp. z o.o., Kędzierzyn-Koźle 2)</t>
  </si>
  <si>
    <t>Moto-Profil sp. z o.o., Chorzów</t>
  </si>
  <si>
    <t>Cognor Holding GK, Poraj</t>
  </si>
  <si>
    <t xml:space="preserve">Essity Poland sp. z o.o., Warszawa </t>
  </si>
  <si>
    <t>Elektrim SA GK, Warszawa</t>
  </si>
  <si>
    <t>LG Electronics Polska sp. z o.o. GK, Warszawa</t>
  </si>
  <si>
    <t>Smyk Holding SA GK, Warszawa</t>
  </si>
  <si>
    <t>Górażdże Cement SA, Górażdże</t>
  </si>
  <si>
    <t>Teva Operations Poland sp. z o.o., Warszawa</t>
  </si>
  <si>
    <t>Ampol - Merol sp. z o.o., Wąbrzeźno</t>
  </si>
  <si>
    <t>Unilever Polska sp. z o.o., Warszawa</t>
  </si>
  <si>
    <t>Delikatesy Centrum sp. z o.o., Komorniki</t>
  </si>
  <si>
    <t>Iveco Poland sp. z o.o., Warszawa</t>
  </si>
  <si>
    <t>Pojazdy Szynowe PESA SA, Bydgoszcz</t>
  </si>
  <si>
    <t>Jabil Poland sp. z o.o., Kwidzyn</t>
  </si>
  <si>
    <t>Grupa Azoty Zakłady Azotowe Kędzierzyn SA</t>
  </si>
  <si>
    <t xml:space="preserve">Kronospan Polska sp. z o.o., Szczecinek </t>
  </si>
  <si>
    <t>DBK sp. z o.o. GK, Olsztyn</t>
  </si>
  <si>
    <t>Adamed Pharma SA GK, Pieńków</t>
  </si>
  <si>
    <t>Hamilton Sundstrand Poland sp. z o.o., Rzeszów</t>
  </si>
  <si>
    <t>Polskie Supermarkety sp. z o.o., Pakość</t>
  </si>
  <si>
    <t>PUT Intercor sp. z o.o., Zawiercie</t>
  </si>
  <si>
    <t>ZE PAK SA GK, Konin</t>
  </si>
  <si>
    <t>TD Synnex Polska sp. z o.o., Warszawa</t>
  </si>
  <si>
    <t>Okręgowa Spółdzielnia Mleczarska, Łowicz</t>
  </si>
  <si>
    <t>Schenker sp. z o.o., Warszawa</t>
  </si>
  <si>
    <t>Smyk SA, Warszawa</t>
  </si>
  <si>
    <t>Ryanair Sun SA, Warszawa</t>
  </si>
  <si>
    <t>Mahle Polska sp. z o.o., Krotoszyn</t>
  </si>
  <si>
    <t>Wielton SA GK, Wieluń</t>
  </si>
  <si>
    <t>Trakcja SA GK, Warszawa</t>
  </si>
  <si>
    <t>Cemex Polska sp. z o.o., Warszawa</t>
  </si>
  <si>
    <t>Autoliv Poland sp. z o.o., Jelcz-Laskowice</t>
  </si>
  <si>
    <t>Swiss Krono sp. z o.o., Żary</t>
  </si>
  <si>
    <t>Brose Sitech sp. z o.o., Polkowice</t>
  </si>
  <si>
    <t>Nexteer Automotive Poland sp. z o.o., Tychy</t>
  </si>
  <si>
    <t>Adient Seating Poland sp. z o.o., Siemianowice</t>
  </si>
  <si>
    <t>Respect Energy Holding, Warszawa</t>
  </si>
  <si>
    <t xml:space="preserve">UPS Polska sp. z o.o., Warszawa </t>
  </si>
  <si>
    <t>Wyborowa SA, Poznań</t>
  </si>
  <si>
    <t>PCC Rokita SA GK, Brzeg Dolny</t>
  </si>
  <si>
    <t>ComArch SA GK, Kraków</t>
  </si>
  <si>
    <t>Mercedes-Benz Trucks Polska sp. z o.o., Warszawa</t>
  </si>
  <si>
    <t>Superior Industries
Production Poland sp. z o.o., Stalowa Wola</t>
  </si>
  <si>
    <t>Grupa Pruszyński sp. z o.o., Komorów</t>
  </si>
  <si>
    <t>Bridgestone Poznań sp. z o.o., Poznań</t>
  </si>
  <si>
    <t>Grenevia SA GK, Katowice</t>
  </si>
  <si>
    <t>Exide Technologies SA, Poznań</t>
  </si>
  <si>
    <t>HUAWEI Polska sp. z o.o., Warszawa</t>
  </si>
  <si>
    <t>Bowim SA GK, Sosnowiec</t>
  </si>
  <si>
    <t>Gaspol SA, Warszawa</t>
  </si>
  <si>
    <t>Grupa Alumetal SA, Kęty 1)</t>
  </si>
  <si>
    <t>Cersanit SA GK, Kielce</t>
  </si>
  <si>
    <t>Valeo Electric and Electronic Systems sp. z o.o., Czechowice-Dziedzice</t>
  </si>
  <si>
    <t xml:space="preserve">MTU Aero Engines Polska sp. z o.o., Jasionka </t>
  </si>
  <si>
    <t>Hurtap SA, Łęczyca</t>
  </si>
  <si>
    <t>Danone sp. z o.o., Warszawa</t>
  </si>
  <si>
    <t>Selena FM SA GK, Wrocław</t>
  </si>
  <si>
    <t>Bawaria Motors sp. z o.o., Warszawa</t>
  </si>
  <si>
    <t>Spółdzielnia Obrotu Towarowego Przemysłu Mleczarskiego, Białystok</t>
  </si>
  <si>
    <t>Colian Holding SA GK, Opatówek</t>
  </si>
  <si>
    <t>Solumus SA, Płock</t>
  </si>
  <si>
    <t>Polskie Zakłady Lotnicze sp. z o.o., Mielec</t>
  </si>
  <si>
    <t>Komagra sp. z o.o., Warszawa</t>
  </si>
  <si>
    <t>ZF Steering Systems Poland sp. z o.o., Czechowice-Dziedzice</t>
  </si>
  <si>
    <t>Sobiesław Zasada Automotive sp. z o.o. sp.j., Kraków</t>
  </si>
  <si>
    <t>Distribev sp. z o.o., Warszawa</t>
  </si>
  <si>
    <t>Nutricia Zakłady Produkcyjne sp. z o.o., Opole</t>
  </si>
  <si>
    <t>Komputronik SA GK, Poznań</t>
  </si>
  <si>
    <t xml:space="preserve">Telewizja Polsat sp. z o.o., Warszawa </t>
  </si>
  <si>
    <t>Stalprofil SA GK, Dąbrowa Górnicza</t>
  </si>
  <si>
    <t>Centrala Farmaceutyczna Cefarm SA, Warszawa</t>
  </si>
  <si>
    <t>TJX Poland sp. z o.o., Warszawa</t>
  </si>
  <si>
    <t>Barter SA, Białystok</t>
  </si>
  <si>
    <t>Bausch Health Poland sp. z o.o., Rzeszów</t>
  </si>
  <si>
    <t>Zott-Polska sp. z o.o., Opole</t>
  </si>
  <si>
    <t>Polska Żegluga Morska PP GK, Szczecin</t>
  </si>
  <si>
    <t>Kalmar Poland sp. z o.o., Stargard</t>
  </si>
  <si>
    <t>Leoni Kabel Polska sp. z o.o., Kobierzyce</t>
  </si>
  <si>
    <t>ICT Poland sp. z o.o., Kostrzyn nad Odrą</t>
  </si>
  <si>
    <t>Osadkowski sp. z o.o., Bierutów</t>
  </si>
  <si>
    <t>Qemetica Soda Polska SA, Inowrocław</t>
  </si>
  <si>
    <t>Kronospan Mielec sp. z o.o., Mielec</t>
  </si>
  <si>
    <t>Polskie Porty Lotnicze SA, Warszawa</t>
  </si>
  <si>
    <t>UPM Raflatac sp. o.o., Kobierzyce</t>
  </si>
  <si>
    <t>Qemetica Agricultural Solutions Poland sp. z o.o., Mielec</t>
  </si>
  <si>
    <t>Grupa Solid GK, Warszawa</t>
  </si>
  <si>
    <t>Inchcape Motor Polska sp. z o.o., Warszawa</t>
  </si>
  <si>
    <t>Tenneco Automotive Polska sp. z o.o., Rybnik</t>
  </si>
  <si>
    <t>Adient Poland sp. z o.o., Świebodzin</t>
  </si>
  <si>
    <t>Mercus Logistyka sp. z o.o., Polkowice</t>
  </si>
  <si>
    <t>Gestamp Polska sp. z o.o., Września</t>
  </si>
  <si>
    <t>Alumetal Poland sp. z o.o., Nowa Sól</t>
  </si>
  <si>
    <t>Mostostal Warszawa SA GK, Warszawa</t>
  </si>
  <si>
    <t>Rockwool Polska sp. z o.o., Cigacice</t>
  </si>
  <si>
    <t>Stora Enso Poland SA, Ostrołęka</t>
  </si>
  <si>
    <t>Magna Automotive (Poland) sp. z o.o., Sady</t>
  </si>
  <si>
    <t xml:space="preserve">Gränges Konin SA, Warszawa </t>
  </si>
  <si>
    <t>FM Polska sp. z o.o. (FM Logistic), Mszczonów</t>
  </si>
  <si>
    <t>Ronal Polska sp. z o.o., Wałbrzych</t>
  </si>
  <si>
    <t>Slovnaft Polska SA, Kraków</t>
  </si>
  <si>
    <t>Correct - K. Błaszczyk i Wspólnicy sp.k., Nowe Skalmierzyce</t>
  </si>
  <si>
    <t>Stadler Polska sp. z o.o., Siedlce</t>
  </si>
  <si>
    <t>Gedia Poland sp. z o.o., Nowa Sól</t>
  </si>
  <si>
    <t>Black Red White SA GK, Biłgoraj</t>
  </si>
  <si>
    <t>Neonet SA GK, Wrocław</t>
  </si>
  <si>
    <t>Sanofi sp. z o.o., Warszawa</t>
  </si>
  <si>
    <t>PHUP Gniezno sp. z o.o. Hurtownia sp.k., Gniezno</t>
  </si>
  <si>
    <t>Continental Opony Polska sp. z o.o., Warszawa</t>
  </si>
  <si>
    <t>Agora SA GK, Warszawa</t>
  </si>
  <si>
    <t>Grupa PGD sp. z o.o. sp.k., Kraków</t>
  </si>
  <si>
    <t>Torpol SA GK, Poznań</t>
  </si>
  <si>
    <t>Bioagra Oil SA, Tychy</t>
  </si>
  <si>
    <t>Frito Lay Poland sp. z o.o., Grodzisk Mazowiecki</t>
  </si>
  <si>
    <t>Faurecia Gorzów SA, Gorzów Wlkp.</t>
  </si>
  <si>
    <t>Sanok Rubber Company SA GK, Sanok</t>
  </si>
  <si>
    <t>Miejskie Przedsiębiorstwo Wodociągów i Kanalizacji w m.st. Warszawie, Warszawa</t>
  </si>
  <si>
    <t>MA Polska SA, Tychy</t>
  </si>
  <si>
    <t>Essity Operations Poland sp. z o.o., Oława</t>
  </si>
  <si>
    <t>ArcelorMittal Warszawa sp. z o.o., Warszawa</t>
  </si>
  <si>
    <t>Bitron Poland sp. z o.o., Sosnowiec</t>
  </si>
  <si>
    <t>COM40 sp. z o.o. sp.k., Nowe Skalmierzyce</t>
  </si>
  <si>
    <t>Kolporter sp. z o.o., Kielce</t>
  </si>
  <si>
    <t>Stock Polska sp. z o.o., Lublin</t>
  </si>
  <si>
    <t>VRG SA GK, Kraków</t>
  </si>
  <si>
    <t>Cargill Protein Poland sp. z o.o., Nowy Sącz</t>
  </si>
  <si>
    <t xml:space="preserve">Adidas Poland sp. z o.o., Warszawa </t>
  </si>
  <si>
    <t>Fideltronik Poland sp. z o.o., Sucha Beskidzka</t>
  </si>
  <si>
    <t>Grupa Nowy Styl sp. z o.o., Krosno</t>
  </si>
  <si>
    <t>Federal - Mogul Gorzyce SA, Gorzyce</t>
  </si>
  <si>
    <t>ZGH Bolesław SA, Bukowno</t>
  </si>
  <si>
    <t>Pilkington Automotive Poland sp. z o.o., Sandomierz</t>
  </si>
  <si>
    <t>Netia SA, Warszawa</t>
  </si>
  <si>
    <t>Martes Sport sp. z o.o., Bielsko-Biała</t>
  </si>
  <si>
    <t>Robyg SA GK, Warszawa</t>
  </si>
  <si>
    <t>Woodeco sp. z o.o., Wrocław</t>
  </si>
  <si>
    <t>Corning Optical Communications Polska sp. z o.o., Stryków</t>
  </si>
  <si>
    <t>Philips Polska sp. z o.o., Warszawa</t>
  </si>
  <si>
    <t>Totalenergies Marketing Polska sp. z o.o., Warszawa</t>
  </si>
  <si>
    <t>Super-Pharm Poland sp. z o.o., Warszawa</t>
  </si>
  <si>
    <t>Geodis Road Network sp. z o.o., Błonie</t>
  </si>
  <si>
    <t>Truvant Europe sp. z o.o., Łódź</t>
  </si>
  <si>
    <t>Essendi Poland SA, Warszawa</t>
  </si>
  <si>
    <t>Danwood SA, Bielsk Podlaski</t>
  </si>
  <si>
    <t>LG Electronics Wrocław sp. z o.o., Kobierzyce</t>
  </si>
  <si>
    <t>Warbud SA, Warszawa</t>
  </si>
  <si>
    <t>IBM Polska sp. z o.o., Warszawa</t>
  </si>
  <si>
    <t>Bemo Motors sp. z o.o. GK, Poznań</t>
  </si>
  <si>
    <t>Plastic Omnium Auto Inergy Poland sp. z o.o., Lublin</t>
  </si>
  <si>
    <t>Faurecia Automotive Polska SA, Grójec</t>
  </si>
  <si>
    <t>Bridgestone Stargard sp. z o.o., Stargard Szczeciński</t>
  </si>
  <si>
    <t>Fabryki Mebli Forte SA GK, Ostrów Maz.</t>
  </si>
  <si>
    <t xml:space="preserve">Mahle Behr sp. z o.o., Ostrów Wielkopolski </t>
  </si>
  <si>
    <t>SE Bordnetze Polska sp. z o.o., Gorzów Wlkp.</t>
  </si>
  <si>
    <t xml:space="preserve">Sun Garden Polska sp. z o.o. sp.k., Malanów </t>
  </si>
  <si>
    <t>Avon Operations Polska sp. z o.o., Garwolin</t>
  </si>
  <si>
    <t>Hoogwegt Poland sp. z o.o., Warszawa (w likwidacji)</t>
  </si>
  <si>
    <t>Amica Handel i Marketing sp. z o.o.</t>
  </si>
  <si>
    <t>Tokai COBEX Polska sp. z o.o., Racibórz</t>
  </si>
  <si>
    <t>PPG Cieszyn SA, Cieszyn</t>
  </si>
  <si>
    <t>Atos Poland Global Services sp. z o.o., Bydgoszcz</t>
  </si>
  <si>
    <t>Skanska SA, Warszawa</t>
  </si>
  <si>
    <t>Bader Polska sp. z o.o., Bolesławiec</t>
  </si>
  <si>
    <t>Deutsche Lufthansa SA Oddział w Polsce</t>
  </si>
  <si>
    <t>Nova Trading SA, Toruń</t>
  </si>
  <si>
    <t>European Steel Group sp. z o.o., Kraków</t>
  </si>
  <si>
    <t>Polmax SA sp.k.a, Świebodzin</t>
  </si>
  <si>
    <t>Denso Thermal Systems Polska sp. z o.o., Bieruń</t>
  </si>
  <si>
    <t>Sharp Consumer Electronics Poland sp. z o.o., Łysomice</t>
  </si>
  <si>
    <t>Olam Polska sp. z o.o., Warszawa</t>
  </si>
  <si>
    <t xml:space="preserve">Hegelmann Transporte sp. z o.o., Częstochowa </t>
  </si>
  <si>
    <t>Ignitis Polska sp. z o.o., Warszawa</t>
  </si>
  <si>
    <t>FCA Powertrain Poland sp. z o.o., Bielsko-Biała (w likwidacji)</t>
  </si>
  <si>
    <t>Control Process SA, Warszawa</t>
  </si>
  <si>
    <t>Toyota Tsusho Europe, Wałbrzych</t>
  </si>
  <si>
    <t>Orlen Paliwa sp. z o.o., Widełka</t>
  </si>
  <si>
    <t>Pepco Poland sp. z o.o., Poznań</t>
  </si>
  <si>
    <t>Marelli Poland sp. z o.o., Sosnowiec</t>
  </si>
  <si>
    <t>SCA PR Polska sp. z o.o., Tarnowo Podgórne</t>
  </si>
  <si>
    <t>Fortuna Online Zakłady Bukmacherskie sp. z o.o., Cieszyn</t>
  </si>
  <si>
    <t>GE Power sp. z o.o., Warszawa</t>
  </si>
  <si>
    <t>Animex K4 sp. z o.o., Warszawa</t>
  </si>
  <si>
    <t>Vicis New Investments SA, Warszawa</t>
  </si>
  <si>
    <t>PT Dystrybucja SA, Radom</t>
  </si>
  <si>
    <t>Auto Handel Centrum Grupa Cichy sp.a.k., Wysogotowo</t>
  </si>
  <si>
    <t>GI Group Poland SA,Warszawa</t>
  </si>
  <si>
    <t>Primeore Trading (Polska) sp. z o.o., Katowice</t>
  </si>
  <si>
    <t>Beloil Polska sp. z o.o., Warszawa</t>
  </si>
  <si>
    <t>Citronex I sp. z o.o., Zgorzelec</t>
  </si>
  <si>
    <t>Onico SA GK, Warszawa</t>
  </si>
  <si>
    <t>Krakowski Inkubator Nowych Technologii SA, Kraków</t>
  </si>
  <si>
    <t>PBG SA w Restrukturyzacji GK, Wysogotowo</t>
  </si>
  <si>
    <t>Graal SA, Wejherowo</t>
  </si>
  <si>
    <t>Centrum Nowoczesnych Technologii SA GK, Sosnowiec</t>
  </si>
  <si>
    <t>0000111962</t>
  </si>
  <si>
    <t>0000099824</t>
  </si>
  <si>
    <t>7740001454</t>
  </si>
  <si>
    <t>7791011327</t>
  </si>
  <si>
    <t>5250010982</t>
  </si>
  <si>
    <t>5260250541</t>
  </si>
  <si>
    <t>7811897358</t>
  </si>
  <si>
    <t>6920000013</t>
  </si>
  <si>
    <t>7770020640</t>
  </si>
  <si>
    <t>9542583988</t>
  </si>
  <si>
    <t>7791906082</t>
  </si>
  <si>
    <t>6211766191</t>
  </si>
  <si>
    <t>5262748966</t>
  </si>
  <si>
    <t>7820032965</t>
  </si>
  <si>
    <t>8961550941</t>
  </si>
  <si>
    <t>5170199121</t>
  </si>
  <si>
    <t>5223071241</t>
  </si>
  <si>
    <t>9570957722</t>
  </si>
  <si>
    <t>5210123177</t>
  </si>
  <si>
    <t>6342463083</t>
  </si>
  <si>
    <t>7822463563</t>
  </si>
  <si>
    <t>5831014898</t>
  </si>
  <si>
    <t>1181452946</t>
  </si>
  <si>
    <t>7261009357</t>
  </si>
  <si>
    <t>7671004218</t>
  </si>
  <si>
    <t>6751373354</t>
  </si>
  <si>
    <t>5220003782</t>
  </si>
  <si>
    <t>9720865431</t>
  </si>
  <si>
    <t>5470048627</t>
  </si>
  <si>
    <t>5512634704</t>
  </si>
  <si>
    <t>7270019183</t>
  </si>
  <si>
    <t>8951628481</t>
  </si>
  <si>
    <t>6330005110</t>
  </si>
  <si>
    <t>7961810732</t>
  </si>
  <si>
    <t>8280001819</t>
  </si>
  <si>
    <t>7561967341</t>
  </si>
  <si>
    <t>6770046739</t>
  </si>
  <si>
    <t>8992367273</t>
  </si>
  <si>
    <t>5270011878</t>
  </si>
  <si>
    <t>5262851977</t>
  </si>
  <si>
    <t>8730006829</t>
  </si>
  <si>
    <t>9451647866</t>
  </si>
  <si>
    <t>1132316427</t>
  </si>
  <si>
    <t>5260250995</t>
  </si>
  <si>
    <t>8790017162</t>
  </si>
  <si>
    <t>5691584815</t>
  </si>
  <si>
    <t>5272698951</t>
  </si>
  <si>
    <t>5660004455</t>
  </si>
  <si>
    <t>5250000251</t>
  </si>
  <si>
    <t>7772304755</t>
  </si>
  <si>
    <t>5270005984</t>
  </si>
  <si>
    <t>5260309174</t>
  </si>
  <si>
    <t>7780000892</t>
  </si>
  <si>
    <t>5261009190</t>
  </si>
  <si>
    <t>5272525995</t>
  </si>
  <si>
    <t>6922200609</t>
  </si>
  <si>
    <t>9512120077</t>
  </si>
  <si>
    <t>7220002329</t>
  </si>
  <si>
    <t>5271398974</t>
  </si>
  <si>
    <t>5220002334</t>
  </si>
  <si>
    <t>6342834728</t>
  </si>
  <si>
    <t>5240104641</t>
  </si>
  <si>
    <t>9370008168</t>
  </si>
  <si>
    <t>5261009959</t>
  </si>
  <si>
    <t>6340023629</t>
  </si>
  <si>
    <t>5222917210</t>
  </si>
  <si>
    <t>5261003187</t>
  </si>
  <si>
    <t>1130089950</t>
  </si>
  <si>
    <t>5261044039</t>
  </si>
  <si>
    <t>5490002108</t>
  </si>
  <si>
    <t>6922088897</t>
  </si>
  <si>
    <t>7121008323</t>
  </si>
  <si>
    <t>5252393332</t>
  </si>
  <si>
    <t>7790001083</t>
  </si>
  <si>
    <t>5250007313</t>
  </si>
  <si>
    <t>5271037727</t>
  </si>
  <si>
    <t>5252496411</t>
  </si>
  <si>
    <t>7190000425</t>
  </si>
  <si>
    <t>5261040567</t>
  </si>
  <si>
    <t>5272643921</t>
  </si>
  <si>
    <t>5260209395</t>
  </si>
  <si>
    <t>5220002860</t>
  </si>
  <si>
    <t>7543072562</t>
  </si>
  <si>
    <t>5210421928</t>
  </si>
  <si>
    <t>8521021463</t>
  </si>
  <si>
    <t>5270103385</t>
  </si>
  <si>
    <t>5831023182</t>
  </si>
  <si>
    <t>5260205983</t>
  </si>
  <si>
    <t>6920001194</t>
  </si>
  <si>
    <t>7822441254</t>
  </si>
  <si>
    <t>9570546350</t>
  </si>
  <si>
    <t>7811861610</t>
  </si>
  <si>
    <t>5210084388</t>
  </si>
  <si>
    <t>5272726825</t>
  </si>
  <si>
    <t>8230001444</t>
  </si>
  <si>
    <t>8862490058</t>
  </si>
  <si>
    <t>5432163817</t>
  </si>
  <si>
    <t>7790048618</t>
  </si>
  <si>
    <t>5262542704</t>
  </si>
  <si>
    <t>5832840931</t>
  </si>
  <si>
    <t>5262544258</t>
  </si>
  <si>
    <t>7390203825</t>
  </si>
  <si>
    <t>5260200081</t>
  </si>
  <si>
    <t>5242106963</t>
  </si>
  <si>
    <t>9512053010</t>
  </si>
  <si>
    <t>5490001468</t>
  </si>
  <si>
    <t>9552029087</t>
  </si>
  <si>
    <t>8370000634</t>
  </si>
  <si>
    <t>8511809184</t>
  </si>
  <si>
    <t>6460325155</t>
  </si>
  <si>
    <t>6391813241</t>
  </si>
  <si>
    <t>5920202822</t>
  </si>
  <si>
    <t>7393115688</t>
  </si>
  <si>
    <t>5260203837</t>
  </si>
  <si>
    <t>7792048522</t>
  </si>
  <si>
    <t>5272523080</t>
  </si>
  <si>
    <t>8951009619</t>
  </si>
  <si>
    <t>6422187001</t>
  </si>
  <si>
    <t>5272707130</t>
  </si>
  <si>
    <t>5270203968</t>
  </si>
  <si>
    <t>8942556799</t>
  </si>
  <si>
    <t>9542381960</t>
  </si>
  <si>
    <t>6461002655</t>
  </si>
  <si>
    <t>5261027992</t>
  </si>
  <si>
    <t>5260204110</t>
  </si>
  <si>
    <t>6260004386</t>
  </si>
  <si>
    <t>5261888932</t>
  </si>
  <si>
    <t>5250005656</t>
  </si>
  <si>
    <t>7872082188</t>
  </si>
  <si>
    <t>6551974439</t>
  </si>
  <si>
    <t>5240015630</t>
  </si>
  <si>
    <t>9281005205</t>
  </si>
  <si>
    <t>9291353356</t>
  </si>
  <si>
    <t>5252546391</t>
  </si>
  <si>
    <t>8790166790</t>
  </si>
  <si>
    <t>6340011017</t>
  </si>
  <si>
    <t>1070002973</t>
  </si>
  <si>
    <t>5261306893</t>
  </si>
  <si>
    <t>5272523022</t>
  </si>
  <si>
    <t>7811011998</t>
  </si>
  <si>
    <t>7251868136</t>
  </si>
  <si>
    <t>5221054994</t>
  </si>
  <si>
    <t>5530007219</t>
  </si>
  <si>
    <t>1180019377</t>
  </si>
  <si>
    <t>5882381336</t>
  </si>
  <si>
    <t>6312363833</t>
  </si>
  <si>
    <t>5272432041</t>
  </si>
  <si>
    <t>5240405093</t>
  </si>
  <si>
    <t>6340017095</t>
  </si>
  <si>
    <t>6761172723</t>
  </si>
  <si>
    <t>5260151365</t>
  </si>
  <si>
    <t>8680000775</t>
  </si>
  <si>
    <t>5590000505</t>
  </si>
  <si>
    <t>5261910258</t>
  </si>
  <si>
    <t>9561040510</t>
  </si>
  <si>
    <t>6991781489</t>
  </si>
  <si>
    <t>7130005784</t>
  </si>
  <si>
    <t>5291756419</t>
  </si>
  <si>
    <t>8781499026</t>
  </si>
  <si>
    <t>5211014579</t>
  </si>
  <si>
    <t>5272525794</t>
  </si>
  <si>
    <t>5730105234</t>
  </si>
  <si>
    <t>7160001822</t>
  </si>
  <si>
    <t>5260019312</t>
  </si>
  <si>
    <t>5993051607</t>
  </si>
  <si>
    <t>5260211104</t>
  </si>
  <si>
    <t>8361676510</t>
  </si>
  <si>
    <t>5210122798</t>
  </si>
  <si>
    <t>8990106769</t>
  </si>
  <si>
    <t>5210335531</t>
  </si>
  <si>
    <t>7010206959</t>
  </si>
  <si>
    <t>5272312319</t>
  </si>
  <si>
    <t>5993005228</t>
  </si>
  <si>
    <t>5212931906</t>
  </si>
  <si>
    <t>1180002678</t>
  </si>
  <si>
    <t>5932205967</t>
  </si>
  <si>
    <t>5220020390</t>
  </si>
  <si>
    <t>5210412987</t>
  </si>
  <si>
    <t>6490001173</t>
  </si>
  <si>
    <t>9492107026</t>
  </si>
  <si>
    <t>6292469993</t>
  </si>
  <si>
    <t>5260304484</t>
  </si>
  <si>
    <t>5251492233</t>
  </si>
  <si>
    <t>5252253246</t>
  </si>
  <si>
    <t>6462117219</t>
  </si>
  <si>
    <t>5220014461</t>
  </si>
  <si>
    <t>5260207427</t>
  </si>
  <si>
    <t>5260212687</t>
  </si>
  <si>
    <t>9511008094</t>
  </si>
  <si>
    <t>9561627586</t>
  </si>
  <si>
    <t>1132109846</t>
  </si>
  <si>
    <t>5832850390</t>
  </si>
  <si>
    <t>7742745992</t>
  </si>
  <si>
    <t>7130005502</t>
  </si>
  <si>
    <t>5342169325</t>
  </si>
  <si>
    <t>9511855233</t>
  </si>
  <si>
    <t>8790172253</t>
  </si>
  <si>
    <t>5862205381</t>
  </si>
  <si>
    <t>6762358128</t>
  </si>
  <si>
    <t>6840001364</t>
  </si>
  <si>
    <t>6692271154</t>
  </si>
  <si>
    <t>5272687350</t>
  </si>
  <si>
    <t>8942389605</t>
  </si>
  <si>
    <t>7281341936</t>
  </si>
  <si>
    <t>5862016763</t>
  </si>
  <si>
    <t>5342082736</t>
  </si>
  <si>
    <t>6270011583</t>
  </si>
  <si>
    <t>5260206712</t>
  </si>
  <si>
    <t>8210014509</t>
  </si>
  <si>
    <t>1132639219</t>
  </si>
  <si>
    <t>5250000794</t>
  </si>
  <si>
    <t>7180000240</t>
  </si>
  <si>
    <t>9542418410</t>
  </si>
  <si>
    <t>9512417713</t>
  </si>
  <si>
    <t>5740007496</t>
  </si>
  <si>
    <t>5252195885</t>
  </si>
  <si>
    <t>6630002096</t>
  </si>
  <si>
    <t>9542249002</t>
  </si>
  <si>
    <t>5261060765</t>
  </si>
  <si>
    <t>8880004938</t>
  </si>
  <si>
    <t>5531694417</t>
  </si>
  <si>
    <t>5262557278</t>
  </si>
  <si>
    <t>5320002463</t>
  </si>
  <si>
    <t>8691637482</t>
  </si>
  <si>
    <t>6991819714</t>
  </si>
  <si>
    <t>5430200365</t>
  </si>
  <si>
    <t>8862530289</t>
  </si>
  <si>
    <t>5571589655</t>
  </si>
  <si>
    <t>7630003498</t>
  </si>
  <si>
    <t>5261168528</t>
  </si>
  <si>
    <t>5210082774</t>
  </si>
  <si>
    <t>8960000032</t>
  </si>
  <si>
    <t>5271107221</t>
  </si>
  <si>
    <t>5832625262</t>
  </si>
  <si>
    <t>8720003404</t>
  </si>
  <si>
    <t>8971709515</t>
  </si>
  <si>
    <t>5272681991</t>
  </si>
  <si>
    <t>6340197476</t>
  </si>
  <si>
    <t>2090001776</t>
  </si>
  <si>
    <t>5810004587</t>
  </si>
  <si>
    <t>9510057883</t>
  </si>
  <si>
    <t>8510205573</t>
  </si>
  <si>
    <t>5261184467</t>
  </si>
  <si>
    <t>1080016327</t>
  </si>
  <si>
    <t>7840003412</t>
  </si>
  <si>
    <t>5260210530</t>
  </si>
  <si>
    <t>5210088110</t>
  </si>
  <si>
    <t>5261037737</t>
  </si>
  <si>
    <t>7740003097</t>
  </si>
  <si>
    <t>7542739320</t>
  </si>
  <si>
    <t>7740004895</t>
  </si>
  <si>
    <t>8130267970</t>
  </si>
  <si>
    <t>5272227588</t>
  </si>
  <si>
    <t>8951858100</t>
  </si>
  <si>
    <t>5470242884</t>
  </si>
  <si>
    <t>5220004379</t>
  </si>
  <si>
    <t>5260019068</t>
  </si>
  <si>
    <t>5252563260</t>
  </si>
  <si>
    <t>5240303375</t>
  </si>
  <si>
    <t>6292469987</t>
  </si>
  <si>
    <t>5271711106</t>
  </si>
  <si>
    <t>9462409596</t>
  </si>
  <si>
    <t>7491515495</t>
  </si>
  <si>
    <t>9542022592</t>
  </si>
  <si>
    <t>1181234296</t>
  </si>
  <si>
    <t>5252534850</t>
  </si>
  <si>
    <t>5260207746</t>
  </si>
  <si>
    <t>5260152146</t>
  </si>
  <si>
    <t>5212214808</t>
  </si>
  <si>
    <t>5272729226</t>
  </si>
  <si>
    <t>7560003405</t>
  </si>
  <si>
    <t>9511588683</t>
  </si>
  <si>
    <t>8781697424</t>
  </si>
  <si>
    <t>5213390341</t>
  </si>
  <si>
    <t>8951012337</t>
  </si>
  <si>
    <t>5261033573</t>
  </si>
  <si>
    <t>5540311775</t>
  </si>
  <si>
    <t>5811792285</t>
  </si>
  <si>
    <t>7490005094</t>
  </si>
  <si>
    <t>6731596217</t>
  </si>
  <si>
    <t>7451003240</t>
  </si>
  <si>
    <t>7311751025</t>
  </si>
  <si>
    <t>8133606674</t>
  </si>
  <si>
    <t>5562125117</t>
  </si>
  <si>
    <t>6492086506</t>
  </si>
  <si>
    <t>6650001645</t>
  </si>
  <si>
    <t>1130002653</t>
  </si>
  <si>
    <t>8340000049</t>
  </si>
  <si>
    <t>5270103824</t>
  </si>
  <si>
    <t>5252159820</t>
  </si>
  <si>
    <t>5213788049</t>
  </si>
  <si>
    <t>6462353144</t>
  </si>
  <si>
    <t>8992462770</t>
  </si>
  <si>
    <t>5250002439</t>
  </si>
  <si>
    <t>9511496432</t>
  </si>
  <si>
    <t>9121628995</t>
  </si>
  <si>
    <t>9280012700</t>
  </si>
  <si>
    <t>6922088905</t>
  </si>
  <si>
    <t>6462101342</t>
  </si>
  <si>
    <t>5862148358</t>
  </si>
  <si>
    <t>8762459238</t>
  </si>
  <si>
    <t>5221004200</t>
  </si>
  <si>
    <t>7770003038</t>
  </si>
  <si>
    <t>9170000015</t>
  </si>
  <si>
    <t>6770065406</t>
  </si>
  <si>
    <t>5223131109</t>
  </si>
  <si>
    <t>8652215995</t>
  </si>
  <si>
    <t>5342139235</t>
  </si>
  <si>
    <t>7822052334</t>
  </si>
  <si>
    <t>6340126246</t>
  </si>
  <si>
    <t>7770002990</t>
  </si>
  <si>
    <t>5262800201</t>
  </si>
  <si>
    <t>6452244873</t>
  </si>
  <si>
    <t>7790020583</t>
  </si>
  <si>
    <t>5492040001</t>
  </si>
  <si>
    <t>5640001666</t>
  </si>
  <si>
    <t>6521377785</t>
  </si>
  <si>
    <t>8133521239</t>
  </si>
  <si>
    <t>7752155163</t>
  </si>
  <si>
    <t>5270204471</t>
  </si>
  <si>
    <t>8840030013</t>
  </si>
  <si>
    <t>5262794848</t>
  </si>
  <si>
    <t>5420200211</t>
  </si>
  <si>
    <t>5540309146</t>
  </si>
  <si>
    <t>7743204548</t>
  </si>
  <si>
    <t>8171720432</t>
  </si>
  <si>
    <t>5261017858</t>
  </si>
  <si>
    <t>6521298123</t>
  </si>
  <si>
    <t>6772338280</t>
  </si>
  <si>
    <t>5213681831</t>
  </si>
  <si>
    <t>7540335340</t>
  </si>
  <si>
    <t>9720902729</t>
  </si>
  <si>
    <t>1130054762</t>
  </si>
  <si>
    <t>6290012166</t>
  </si>
  <si>
    <t>5250004220</t>
  </si>
  <si>
    <t>7010180987</t>
  </si>
  <si>
    <t>9661388342</t>
  </si>
  <si>
    <t>8133676203</t>
  </si>
  <si>
    <t>8990204006</t>
  </si>
  <si>
    <t>8510205662</t>
  </si>
  <si>
    <t>7781008163</t>
  </si>
  <si>
    <t>8961244256</t>
  </si>
  <si>
    <t>5992536573</t>
  </si>
  <si>
    <t>9112025205</t>
  </si>
  <si>
    <t>5252382127</t>
  </si>
  <si>
    <t>8171459956</t>
  </si>
  <si>
    <t>5250000239</t>
  </si>
  <si>
    <t>5221026986</t>
  </si>
  <si>
    <t>8171706314</t>
  </si>
  <si>
    <t>5211008627</t>
  </si>
  <si>
    <t>5262782779</t>
  </si>
  <si>
    <t>5261879614</t>
  </si>
  <si>
    <t>9271756246</t>
  </si>
  <si>
    <t>6920001774</t>
  </si>
  <si>
    <t>6912202707</t>
  </si>
  <si>
    <t>5492338255</t>
  </si>
  <si>
    <t>5260204995</t>
  </si>
  <si>
    <t>9270005236</t>
  </si>
  <si>
    <t>7580000692</t>
  </si>
  <si>
    <t>5262654857</t>
  </si>
  <si>
    <t>5250003551</t>
  </si>
  <si>
    <t>8381000827</t>
  </si>
  <si>
    <t>8971015698</t>
  </si>
  <si>
    <t>6761816480</t>
  </si>
  <si>
    <t>6222602978</t>
  </si>
  <si>
    <t>8212477136</t>
  </si>
  <si>
    <t>5262161089</t>
  </si>
  <si>
    <t>9181745428</t>
  </si>
  <si>
    <t>8950021311</t>
  </si>
  <si>
    <t>8130140525</t>
  </si>
  <si>
    <t>7842403647</t>
  </si>
  <si>
    <t>5261650001</t>
  </si>
  <si>
    <t>5260305644</t>
  </si>
  <si>
    <t>6792575669</t>
  </si>
  <si>
    <t>9720959445</t>
  </si>
  <si>
    <t>5242587483</t>
  </si>
  <si>
    <t>5291347721</t>
  </si>
  <si>
    <t>5992784905</t>
  </si>
  <si>
    <t>6870004321</t>
  </si>
  <si>
    <t>5250005662</t>
  </si>
  <si>
    <t>6462336513</t>
  </si>
  <si>
    <t>8951502768</t>
  </si>
  <si>
    <t>1180016775</t>
  </si>
  <si>
    <t>6442806973</t>
  </si>
  <si>
    <t>6222353050</t>
  </si>
  <si>
    <t>9591452482</t>
  </si>
  <si>
    <t>7010035475</t>
  </si>
  <si>
    <t>6750000361</t>
  </si>
  <si>
    <t>7341063873</t>
  </si>
  <si>
    <t>5220000080</t>
  </si>
  <si>
    <t>5521298418</t>
  </si>
  <si>
    <t>6840009302</t>
  </si>
  <si>
    <t>8670003039</t>
  </si>
  <si>
    <t>6370102196</t>
  </si>
  <si>
    <t>8641393724</t>
  </si>
  <si>
    <t>5260205575</t>
  </si>
  <si>
    <t>5471791682</t>
  </si>
  <si>
    <t>5252392367</t>
  </si>
  <si>
    <t>7191503973</t>
  </si>
  <si>
    <t>7282408140</t>
  </si>
  <si>
    <t>5260210955</t>
  </si>
  <si>
    <t>5220100798</t>
  </si>
  <si>
    <t>5252175977</t>
  </si>
  <si>
    <t>5270104717</t>
  </si>
  <si>
    <t>5272435878</t>
  </si>
  <si>
    <t>5260250469</t>
  </si>
  <si>
    <t>5431868964</t>
  </si>
  <si>
    <t>1010001065</t>
  </si>
  <si>
    <t>5260300724</t>
  </si>
  <si>
    <t>7820069129</t>
  </si>
  <si>
    <t>9511878895</t>
  </si>
  <si>
    <t>7971258667</t>
  </si>
  <si>
    <t>8542289550</t>
  </si>
  <si>
    <t>7590005082</t>
  </si>
  <si>
    <t>6222788316</t>
  </si>
  <si>
    <t>5990108407</t>
  </si>
  <si>
    <t>6680000320</t>
  </si>
  <si>
    <t>5272735267</t>
  </si>
  <si>
    <t>5270103416</t>
  </si>
  <si>
    <t>5272645162</t>
  </si>
  <si>
    <t>6390003994</t>
  </si>
  <si>
    <t>5480075264</t>
  </si>
  <si>
    <t>5213207288</t>
  </si>
  <si>
    <t>7780001070</t>
  </si>
  <si>
    <t>8991027316</t>
  </si>
  <si>
    <t>5260003819</t>
  </si>
  <si>
    <t>8790177836</t>
  </si>
  <si>
    <t>6423192406</t>
  </si>
  <si>
    <t>9270101000</t>
  </si>
  <si>
    <t>6443012212</t>
  </si>
  <si>
    <t>8792481113</t>
  </si>
  <si>
    <t>5862033075</t>
  </si>
  <si>
    <t>5732832688</t>
  </si>
  <si>
    <t>5252714003</t>
  </si>
  <si>
    <t>5472091774</t>
  </si>
  <si>
    <t>8732898418</t>
  </si>
  <si>
    <t>8971636006</t>
  </si>
  <si>
    <t>8141019514</t>
  </si>
  <si>
    <t>7821977018</t>
  </si>
  <si>
    <t>5481192629</t>
  </si>
  <si>
    <t>5780002163</t>
  </si>
  <si>
    <t>8133351493</t>
  </si>
  <si>
    <t>5242617178</t>
  </si>
  <si>
    <t>7960069945</t>
  </si>
  <si>
    <t>7810026124</t>
  </si>
  <si>
    <t>8971655469</t>
  </si>
  <si>
    <t>9542765577</t>
  </si>
  <si>
    <t>7010259849</t>
  </si>
  <si>
    <t>6150024146</t>
  </si>
  <si>
    <t>8842676222</t>
  </si>
  <si>
    <t>6772064405</t>
  </si>
  <si>
    <t>7772194746</t>
  </si>
  <si>
    <t>5882001859</t>
  </si>
  <si>
    <t>6440011838</t>
  </si>
  <si>
    <t>4719</t>
  </si>
  <si>
    <t>9200</t>
  </si>
  <si>
    <t>7010</t>
  </si>
  <si>
    <t>4711</t>
  </si>
  <si>
    <t>0729</t>
  </si>
  <si>
    <t>3514</t>
  </si>
  <si>
    <t>4690</t>
  </si>
  <si>
    <t>3512</t>
  </si>
  <si>
    <t>2910</t>
  </si>
  <si>
    <t>2720</t>
  </si>
  <si>
    <t>4639</t>
  </si>
  <si>
    <t>4511</t>
  </si>
  <si>
    <t>2410</t>
  </si>
  <si>
    <t>4642</t>
  </si>
  <si>
    <t>4531</t>
  </si>
  <si>
    <t>6420</t>
  </si>
  <si>
    <t>4754</t>
  </si>
  <si>
    <t>4635</t>
  </si>
  <si>
    <t>6201</t>
  </si>
  <si>
    <t>4671</t>
  </si>
  <si>
    <t>4775</t>
  </si>
  <si>
    <t>7022</t>
  </si>
  <si>
    <t>0510</t>
  </si>
  <si>
    <t>6130</t>
  </si>
  <si>
    <t>2592</t>
  </si>
  <si>
    <t>2015</t>
  </si>
  <si>
    <t>3530</t>
  </si>
  <si>
    <t>5221</t>
  </si>
  <si>
    <t>6110</t>
  </si>
  <si>
    <t>4646</t>
  </si>
  <si>
    <t>2640</t>
  </si>
  <si>
    <t>4730</t>
  </si>
  <si>
    <t>6312</t>
  </si>
  <si>
    <t>4772</t>
  </si>
  <si>
    <t>6120</t>
  </si>
  <si>
    <t>5110</t>
  </si>
  <si>
    <t>2751</t>
  </si>
  <si>
    <t>4752</t>
  </si>
  <si>
    <t>4211</t>
  </si>
  <si>
    <t>4759</t>
  </si>
  <si>
    <t>5310</t>
  </si>
  <si>
    <t>3522</t>
  </si>
  <si>
    <t>2312</t>
  </si>
  <si>
    <t>4634</t>
  </si>
  <si>
    <t>7912</t>
  </si>
  <si>
    <t>4729</t>
  </si>
  <si>
    <t>5320</t>
  </si>
  <si>
    <t>4672</t>
  </si>
  <si>
    <t>4651</t>
  </si>
  <si>
    <t>3100</t>
  </si>
  <si>
    <t>3513</t>
  </si>
  <si>
    <t>5020</t>
  </si>
  <si>
    <t>4910</t>
  </si>
  <si>
    <t>2211</t>
  </si>
  <si>
    <t>2442</t>
  </si>
  <si>
    <t>2223</t>
  </si>
  <si>
    <t>2120</t>
  </si>
  <si>
    <t>8621</t>
  </si>
  <si>
    <t>2740</t>
  </si>
  <si>
    <t>6820</t>
  </si>
  <si>
    <t>4920</t>
  </si>
  <si>
    <t>2611</t>
  </si>
  <si>
    <t>4673</t>
  </si>
  <si>
    <t>4791</t>
  </si>
  <si>
    <t>5210</t>
  </si>
  <si>
    <t>4110</t>
  </si>
  <si>
    <t>4675</t>
  </si>
  <si>
    <t>2349</t>
  </si>
  <si>
    <t>4950</t>
  </si>
  <si>
    <t>4941</t>
  </si>
  <si>
    <t>2432</t>
  </si>
  <si>
    <t>4621</t>
  </si>
  <si>
    <t>2041</t>
  </si>
  <si>
    <t>2932</t>
  </si>
  <si>
    <t>2110</t>
  </si>
  <si>
    <t>5610</t>
  </si>
  <si>
    <t>9311</t>
  </si>
  <si>
    <t>4636</t>
  </si>
  <si>
    <t>4120</t>
  </si>
  <si>
    <t>2630</t>
  </si>
  <si>
    <t>6020</t>
  </si>
  <si>
    <t>2711</t>
  </si>
  <si>
    <t>4741</t>
  </si>
  <si>
    <t>4771</t>
  </si>
  <si>
    <t>4761</t>
  </si>
  <si>
    <t>2016</t>
  </si>
  <si>
    <t>3030</t>
  </si>
  <si>
    <t>4519</t>
  </si>
  <si>
    <t>4764</t>
  </si>
  <si>
    <t>6311</t>
  </si>
  <si>
    <t>2931</t>
  </si>
  <si>
    <t>0150</t>
  </si>
  <si>
    <t>8291</t>
  </si>
  <si>
    <t>4755</t>
  </si>
  <si>
    <t>3020</t>
  </si>
  <si>
    <t>4740</t>
  </si>
  <si>
    <t>2540</t>
  </si>
  <si>
    <t>2351</t>
  </si>
  <si>
    <t>4674</t>
  </si>
  <si>
    <t>2212</t>
  </si>
  <si>
    <t>0147</t>
  </si>
  <si>
    <t>2815</t>
  </si>
  <si>
    <t>3315</t>
  </si>
  <si>
    <t>6202</t>
  </si>
  <si>
    <t>4299</t>
  </si>
  <si>
    <t>2830</t>
  </si>
  <si>
    <t>3299</t>
  </si>
  <si>
    <t>2512</t>
  </si>
  <si>
    <t>4645</t>
  </si>
  <si>
    <t>3511</t>
  </si>
  <si>
    <t>4652</t>
  </si>
  <si>
    <t>4638</t>
  </si>
  <si>
    <t>3320</t>
  </si>
  <si>
    <t>4781</t>
  </si>
  <si>
    <t>4631</t>
  </si>
  <si>
    <t>4213</t>
  </si>
  <si>
    <t>5229</t>
  </si>
  <si>
    <t>2811</t>
  </si>
  <si>
    <t>2920</t>
  </si>
  <si>
    <t>4212</t>
  </si>
  <si>
    <t>2511</t>
  </si>
  <si>
    <t>2732</t>
  </si>
  <si>
    <t>2599</t>
  </si>
  <si>
    <t>2892</t>
  </si>
  <si>
    <t>2331</t>
  </si>
  <si>
    <t>3031</t>
  </si>
  <si>
    <t>4633</t>
  </si>
  <si>
    <t>0111</t>
  </si>
  <si>
    <t>2013</t>
  </si>
  <si>
    <t>5223</t>
  </si>
  <si>
    <t>8020</t>
  </si>
  <si>
    <t>2399</t>
  </si>
  <si>
    <t>4643</t>
  </si>
  <si>
    <t>3103</t>
  </si>
  <si>
    <t>3109</t>
  </si>
  <si>
    <t>5813</t>
  </si>
  <si>
    <t>2014</t>
  </si>
  <si>
    <t>2219</t>
  </si>
  <si>
    <t>3700</t>
  </si>
  <si>
    <t>4649</t>
  </si>
  <si>
    <t>2030</t>
  </si>
  <si>
    <t>2612</t>
  </si>
  <si>
    <t>3101</t>
  </si>
  <si>
    <t>2443</t>
  </si>
  <si>
    <t>2731</t>
  </si>
  <si>
    <t>4669</t>
  </si>
  <si>
    <t>7820</t>
  </si>
  <si>
    <t>4773</t>
  </si>
  <si>
    <t>6203</t>
  </si>
  <si>
    <t>8292</t>
  </si>
  <si>
    <t>2042</t>
  </si>
  <si>
    <t>5510</t>
  </si>
  <si>
    <t>4681</t>
  </si>
  <si>
    <t>7739</t>
  </si>
  <si>
    <t>4221</t>
  </si>
  <si>
    <t>4311</t>
  </si>
  <si>
    <t>Wytwarzanie i przetwarzanie produktów rafinacji ropy naftowej</t>
  </si>
  <si>
    <t>Pozostała sprzedaż detaliczna prowadzona w niewyspecjalizowanych sklepach</t>
  </si>
  <si>
    <t>Działalność związana z grami losowymi i zakładami wzajemnymi</t>
  </si>
  <si>
    <t>Działalność firm centralnych (head offices) i holdingów, z wyłączeniem holdingów finansowych</t>
  </si>
  <si>
    <t>Sprzedaż detaliczna prowadzona w niewyspecjalizowanych sklepach z przewagą żywności, napojów i wyrobów tytoniowych</t>
  </si>
  <si>
    <t>Górnictwo pozostałych rud metali nieżelaznych</t>
  </si>
  <si>
    <t>Handel energią elektryczną</t>
  </si>
  <si>
    <t>Sprzedaż hurtowa niewyspecjalizowana</t>
  </si>
  <si>
    <t>Przesyłanie energii elektrycznej</t>
  </si>
  <si>
    <t>Produkcja pojazdów samochodowych przeznaczonych do przewozu towarów</t>
  </si>
  <si>
    <t>Produkcja baterii i akumulatorów</t>
  </si>
  <si>
    <t>Sprzedaż hurtowa niewyspecjalizowana żywności, napojów i wyrobów tytoniowych</t>
  </si>
  <si>
    <t>Sprzedaż hurtowa i detaliczna samochodów osobowych i furgonetek</t>
  </si>
  <si>
    <t>Produkcja surówki, żelazostopów, żeliwa i stali oraz wyrobów hutniczych</t>
  </si>
  <si>
    <t>Sprzedaż detaliczna odzieży prowadzona w wyspecjalizowanych sklepach</t>
  </si>
  <si>
    <t>Sprzedaż hurtowa części i akcesoriów do pojazdów samochodowych, z wyłączeniem motocykli</t>
  </si>
  <si>
    <t>Sprzedaż hurtowa - farmacja</t>
  </si>
  <si>
    <t>Sprzedaż detaliczna elektrycznego sprzętu gospodarstwa domowego prowadzona w wyspecjalizowanych sklepach</t>
  </si>
  <si>
    <t>Sprzedaż hurtowa wyrobów tytoniowych</t>
  </si>
  <si>
    <t>Działalność związana z oprogramowaniem</t>
  </si>
  <si>
    <t>Sprzedaż detaliczna paliw do pojazdów silnikowych na stacjach paliw</t>
  </si>
  <si>
    <t>Produkcja samochodów osobowych</t>
  </si>
  <si>
    <t>Sprzedaż detaliczna kosmetyków i artykułów toaletowych prowadzona w wyspecjalizowanych sklepach</t>
  </si>
  <si>
    <t>Pozostałe doradztwo w zakresie prowadzenia działalności gospodarczej i zarządzania</t>
  </si>
  <si>
    <t>Wydobywanie węgla kamiennego</t>
  </si>
  <si>
    <t>Działalność w zakresie telekomunikacji satelitarnej</t>
  </si>
  <si>
    <t>Produkcja wyrobów tytoniowych</t>
  </si>
  <si>
    <t>Sprzedaż hurtowa paliw i produktów pochodnych</t>
  </si>
  <si>
    <t>Produkcja opakowań z metali</t>
  </si>
  <si>
    <t>Produkcja nawozów i związków azotowych</t>
  </si>
  <si>
    <t>Wytwarzanie i zaopatrywanie w parę wodną, gorącą wodę i powietrze do układów klimatyzacyjnych</t>
  </si>
  <si>
    <t>Działalność usługowa wspomagająca transport lądowy</t>
  </si>
  <si>
    <t>Działalność w zakresie telekomunikacji przewodowej</t>
  </si>
  <si>
    <t>Sprzedaż hurtowa wyrobów farmaceutycznych i medycznych</t>
  </si>
  <si>
    <t>Produkcja elektronicznego sprzętu powszechnego użytku</t>
  </si>
  <si>
    <t>Produkcja wyrobów z mięsa, włączając wyroby z mięsa drobiowego</t>
  </si>
  <si>
    <t>E-commerse</t>
  </si>
  <si>
    <t>Działalność w zakresie telekomunikacji bezprzewodowej, z wyłączeniem telekomunikacji satelitarnej</t>
  </si>
  <si>
    <t>Przetwórstwo mleka i wyrób serów</t>
  </si>
  <si>
    <t>Transport lotniczy pasażerski</t>
  </si>
  <si>
    <t>Produkcja elektrycznego sprzętu gospodarstwa domowego</t>
  </si>
  <si>
    <t>Sprzedaż detaliczna drobnych wyrobów metalowych, farb i szkła prowadzona w wyspecjalizowanych sklepach</t>
  </si>
  <si>
    <t>Roboty związane z budową dróg i autostrad</t>
  </si>
  <si>
    <t>Produkcja silników do pojazdów samochodowych (z wyłączeniem motocykli) oraz do ciągników rolniczych</t>
  </si>
  <si>
    <t>Sprzedaż detaliczna mebli, sprzętu oświetleniowego i pozostałych artykułów użytku domowego prowadzona w wyspecjalizowanych sklepach</t>
  </si>
  <si>
    <t>Sprzedaż detaliczna niewyspecjalizowana z przewagą żywności, napojów lub wyrobów tytoniowych</t>
  </si>
  <si>
    <t>Wytwarzanie skrobi i wyrobów skrobiowych</t>
  </si>
  <si>
    <t>Działalność pozostałych agencji transportowych</t>
  </si>
  <si>
    <t>Dystrybucja paliw gazowych w systemie sieciowym</t>
  </si>
  <si>
    <t>Sprzedaż hurtowa napojów alkoholowych</t>
  </si>
  <si>
    <t>Działalność organizatorów turystyki</t>
  </si>
  <si>
    <t>Sprzedaż detaliczna pozostałej żywności prowadzona w wyspecjalizowanych sklepach</t>
  </si>
  <si>
    <t>Pozostała działalność pocztowa i kurierska</t>
  </si>
  <si>
    <t>Sprzedaż hurtowa metali i rud metali</t>
  </si>
  <si>
    <t>Przetwarzanie i konserwowanie mięsa, z wyłączeniem mięsa z drobiu</t>
  </si>
  <si>
    <t>Sprzedaż hurtowa komputerów, urządzeń peryferyjnych i oprogramowania</t>
  </si>
  <si>
    <t>Produkcja mebli</t>
  </si>
  <si>
    <t>Dystrybucja energii elektrycznej</t>
  </si>
  <si>
    <t>Transport morski i przybrzeżny towarów</t>
  </si>
  <si>
    <t>Transport kolejowy pasażerski międzymiastowy</t>
  </si>
  <si>
    <t>Produkcja opon i dętek z gumy; bieżnikowanie i regenerowanie opon z gumy</t>
  </si>
  <si>
    <t>Produkcja napojów bezalkoholowych; produkcja wód mineralnych i pozostałych wód butelkowanych</t>
  </si>
  <si>
    <t>Produkcja wyrobów z aluminium i stopów aluminium</t>
  </si>
  <si>
    <t>Przetwarzanie i konserwowanie ryb, skorupiaków i mięczaków</t>
  </si>
  <si>
    <t>Produkcja piwa</t>
  </si>
  <si>
    <t>Produkcja wyrobów dla budownictwa z tworzyw sztucznych</t>
  </si>
  <si>
    <t>Produkcja leków i pozostałych wyrobów farmaceutycznych</t>
  </si>
  <si>
    <t>Produkcja gotowej paszy dla zwierząt gospodarskich</t>
  </si>
  <si>
    <t>Działalność szpitali</t>
  </si>
  <si>
    <t>Sprzedaż hurtowa pojazdów silnikowych, z wyłączeniem motocykli</t>
  </si>
  <si>
    <t>Produkcja elektrycznego sprzętu oświetleniowego</t>
  </si>
  <si>
    <t>Produkcja przypraw</t>
  </si>
  <si>
    <t>Produkcja olejów i pozostałych tłuszczów płynnych</t>
  </si>
  <si>
    <t>Produkcja elementów elektronicznych</t>
  </si>
  <si>
    <t>Sprzedaż hurtowa drewna, materiałów budowlanych i wyposażenia sanitarnego</t>
  </si>
  <si>
    <t>Produkcja autobusów</t>
  </si>
  <si>
    <t>Kształtowanie i obróbka szkła płaskiego</t>
  </si>
  <si>
    <t>Sprzedaż detaliczna prowadzona przez domy sprzedaży wysyłkowej lub Internet</t>
  </si>
  <si>
    <t>Magazynowanie i przechowywanie pozostałych towarów</t>
  </si>
  <si>
    <t>Spożywcza - pasza dla zwierząt</t>
  </si>
  <si>
    <t>Realizacja projektów budowlanych związanych ze wznoszeniem budynków</t>
  </si>
  <si>
    <t>Sprzedaż hurtowa pozostałych maszyn i urządzeń</t>
  </si>
  <si>
    <t>Sprzedaż hurtowa wyrobów chemicznych</t>
  </si>
  <si>
    <t>Produkcja pozostałych wyrobów ceramicznych</t>
  </si>
  <si>
    <t>Transport rurociągami paliw gazowych</t>
  </si>
  <si>
    <t>Transport drogowy towarów</t>
  </si>
  <si>
    <t>Produkcja wyrobów płaskich walcowanych na zimno</t>
  </si>
  <si>
    <t>Produkcja papieru i tektury</t>
  </si>
  <si>
    <t>Produkcja cukru</t>
  </si>
  <si>
    <t>Sprzedaż hurtowa zboża, nieprzetworzonego tytoniu, nasion i pasz dla zwierząt</t>
  </si>
  <si>
    <t>Produkcja mydła i detergentów, środków myjących i czyszczących</t>
  </si>
  <si>
    <t>Produkcja pozostałych części i akcesoriów do pojazdów silnikowych, z wyłączeniem motocykli</t>
  </si>
  <si>
    <t>Papiernicza</t>
  </si>
  <si>
    <t>Restauracje i inne stałe placówki gastronomiczne</t>
  </si>
  <si>
    <t>Sprzedaż hurtowa cukru, czekolady, wyrobów cukierniczych i piekarskich</t>
  </si>
  <si>
    <t>Roboty budowlane związane ze wznoszeniem budynków mieszkalnych i niemieszkalnych</t>
  </si>
  <si>
    <t>Produkcja sprzętu (tele)komunikacyjnego</t>
  </si>
  <si>
    <t>Produkcja kakao, czekolady i wyrobów cukierniczych</t>
  </si>
  <si>
    <t>Nadawanie programów telewizyjnych ogólnodostępnych i abonamentowych</t>
  </si>
  <si>
    <t>Produkcja elektrycznych silników, prądnic i transformatorów</t>
  </si>
  <si>
    <t>Sprzedaż detaliczna komputerów, urządzeń peryferyjnych i oprogramowania prowadzona w wyspecjalizowanych sklepach</t>
  </si>
  <si>
    <t>usługi</t>
  </si>
  <si>
    <t>Produkcja tworzyw sztucznych w formach podstawowych</t>
  </si>
  <si>
    <t>Produkcja statków powietrznych, statków kosmicznych i podobnych maszyn</t>
  </si>
  <si>
    <t>Sprzedaż hurtowa i detaliczna pozostałych pojazdów samochodowych, z wyłączeniem motocykli</t>
  </si>
  <si>
    <t>Sprzedaż detaliczna sprzętu sportowego prowadzona w wyspecjalizowanych sklepach</t>
  </si>
  <si>
    <t>Przetwarzanie danych; zarządzanie stronami internetowymi (hosting) i podobna działalność</t>
  </si>
  <si>
    <t>Produkcja wyposażenia elektrycznego i elektronicznego do pojazdów silnikowych</t>
  </si>
  <si>
    <t>Uprawy rolne połączone z chowem i hodowlą zwierząt (działalność mieszana)</t>
  </si>
  <si>
    <t>Finansowa - windykacja</t>
  </si>
  <si>
    <t>Sprzedaż detaliczna mebli, sprzętu oświetleniowego, artykułów stołowych oraz pozostałych artykułów użytku domowego</t>
  </si>
  <si>
    <t>Produkcja lokomotyw kolejowych oraz taboru szynowego</t>
  </si>
  <si>
    <t>Sprzedaż detaliczna narzędzi technologii informacyjnej i komunikacyjnej</t>
  </si>
  <si>
    <t>Produkcja broni i amunicji</t>
  </si>
  <si>
    <t>Produkcja cementu</t>
  </si>
  <si>
    <t>Sprzedaż hurtowa wyrobów metalowych oraz sprzętu i dodatkowego wyposażenia hydraulicznego i grzejnego</t>
  </si>
  <si>
    <t>Produkcja pozostałych wyrobów z gumy</t>
  </si>
  <si>
    <t>Przetwarzanie i konserwowanie mięsa z drobiu</t>
  </si>
  <si>
    <t>Chów i hodowla drobiu</t>
  </si>
  <si>
    <t>Produkcja łożysk, kół zębatych, przekładni zębatych i elementów napędowych</t>
  </si>
  <si>
    <t>Naprawa i konserwacja statków i łodzi</t>
  </si>
  <si>
    <t>Działalność związana z doradztwem w zakresie informatyki</t>
  </si>
  <si>
    <t>Roboty związane z budową pozostałych obiektów inżynierii lądowej i wodnej, gdzie indziej niesklasyfikowane</t>
  </si>
  <si>
    <t>Produkcja maszyn dla rolnictwa i leśnictwa</t>
  </si>
  <si>
    <t>Produkcja pozostałych wyrobów, gdzie indziej niesklasyfikowana</t>
  </si>
  <si>
    <t>Produkcja metalowych elementów stolarki budowlanej</t>
  </si>
  <si>
    <t>Sprzedaż hurtowa perfum i kosmetyków</t>
  </si>
  <si>
    <t>Wytwarzanie energii elektrycznej</t>
  </si>
  <si>
    <t>Sprzedaż hurtowa sprzętu elektronicznego i telekomunikacyjnego oraz części do niego</t>
  </si>
  <si>
    <t>Handel detaliczny</t>
  </si>
  <si>
    <t>Sprzedaż hurtowa pozostałej żywności, włączając ryby, skorupiaki i mięczaki</t>
  </si>
  <si>
    <t>Instalowanie maszyn przemysłowych, sprzętu i wyposażenia</t>
  </si>
  <si>
    <t>Produkcja arkuszy fornirowych i płyt wykonanych na bazie drewna</t>
  </si>
  <si>
    <t>Sprzedaż detaliczna pojazdów silnikowych, z wyłączeniem motocykli</t>
  </si>
  <si>
    <t>Sprzedaż hurtowa owoców i warzyw</t>
  </si>
  <si>
    <t>Roboty związane z budową mostów i tuneli</t>
  </si>
  <si>
    <t>Produkcja silników i turbin, z wyłączeniem silników lotniczych, samochodowych i motocyklowych</t>
  </si>
  <si>
    <t>Produkcja nadwozi do pojazdów silnikowych; produkcja przyczep i naczep</t>
  </si>
  <si>
    <t>Produkcja konstrukcji metalowych i ich części</t>
  </si>
  <si>
    <t>Destylowanie, rektyfikowanie i mieszanie alkoholi</t>
  </si>
  <si>
    <t>Produkcja pozostałych elektronicznych i elektrycznych przewodów i kabli</t>
  </si>
  <si>
    <t>Produkcja maszyn dla górnictwa i do wydobywania oraz budownictwa</t>
  </si>
  <si>
    <t>Produkcja ceramicznych kafli i płytek</t>
  </si>
  <si>
    <t>Produkcja cywilnych statków powietrznych, statków kosmicznych i podobnych maszyn</t>
  </si>
  <si>
    <t>Sprzedaż hurtowa mleka, wyrobów mleczarskich, jaj, olejów i tłuszczów jadalnych</t>
  </si>
  <si>
    <t>Pozostałe przetwarzanie i konserwowanie owoców i warzyw</t>
  </si>
  <si>
    <t>Produkcja artykułów gospodarstwa domowego, toaletowych i sanitarnych</t>
  </si>
  <si>
    <t>Uprawa zbóż, roślin strączkowych i roślin oleistych na nasiona, z wyłączeniem ryżu</t>
  </si>
  <si>
    <t>Produkcja pozostałych podstawowych chemikaliów nieorganicznych</t>
  </si>
  <si>
    <t>Działalność usługowa wspomagająca transport lotniczy</t>
  </si>
  <si>
    <t>Działalność ochroniarska w zakresie obsługi systemów bezpieczeństwa</t>
  </si>
  <si>
    <t>Produkcja pozostałych wyrobów z mineralnych surowców niemetalicznych, gdzie indziej niesklasyfikowana</t>
  </si>
  <si>
    <t>Sprzedaż hurtowa elektrycznych artykułów użytku domowego</t>
  </si>
  <si>
    <t>Produkcja materaców</t>
  </si>
  <si>
    <t>Produkcja pozostałych mebli</t>
  </si>
  <si>
    <t>Sprzedaż hurtowa części i akcesoriów do pojazdów silnikowych, z wyłączeniem motocykli</t>
  </si>
  <si>
    <t>Wydawanie gazet</t>
  </si>
  <si>
    <t>Produkcja pozostałych podstawowych chemikaliów organicznych</t>
  </si>
  <si>
    <t>Odprowadzanie i oczyszczanie ścieków</t>
  </si>
  <si>
    <t>Sprzedaż hurtowa pozostałych artykułów użytku domowego</t>
  </si>
  <si>
    <t>Produkcja farb, lakierów i podobnych powłok, farb drukarskich i mas uszczelniających</t>
  </si>
  <si>
    <t>Sprzedaż hurtowa odzieży i obuwia</t>
  </si>
  <si>
    <t>Produkcja elektronicznych obwodów drukowanych</t>
  </si>
  <si>
    <t>Produkcja mebli biurowych i sklepowych</t>
  </si>
  <si>
    <t>Produkcja ołowiu, cynku i cyny</t>
  </si>
  <si>
    <t>Produkcja kabli światłowodowych</t>
  </si>
  <si>
    <t>Działalność agencji pracy tymczasowej</t>
  </si>
  <si>
    <t>Sprzedaż detaliczna wyrobów farmaceutycznych prowadzona w wyspecjalizowanych sklepach</t>
  </si>
  <si>
    <t>Działalność związana z zarządzaniem urządzeniami informatycznymi</t>
  </si>
  <si>
    <t>Działalność związana z pakowaniem</t>
  </si>
  <si>
    <t>Produkcja wyrobów kosmetycznych i toaletowych</t>
  </si>
  <si>
    <t>Hotele i podobne obiekty zakwaterowania</t>
  </si>
  <si>
    <t>Produkcja gotowych wyrobów tekstylnych</t>
  </si>
  <si>
    <t>Wyprawa skór, garbowanie; wyprawa i barwienie skór futerkowych</t>
  </si>
  <si>
    <t>Sprzedaż hurtowa paliw stałych, ciekłych, gazowych oraz produktów pochodnych</t>
  </si>
  <si>
    <t>budownictwo</t>
  </si>
  <si>
    <t>Wynajem i dzierżawa pozostałych maszyn, urządzeń oraz dóbr materialnych, gdzie indziej niesklasyfikowane</t>
  </si>
  <si>
    <t>Budownictwo-przemysłowe</t>
  </si>
  <si>
    <t xml:space="preserve">Sprzedaż hurtowa </t>
  </si>
  <si>
    <t>Sprzedaż hurtowa - paliwa</t>
  </si>
  <si>
    <t>Budownictwo</t>
  </si>
  <si>
    <t>paliwa</t>
  </si>
  <si>
    <t>handel detaliczny</t>
  </si>
  <si>
    <t>energetyka</t>
  </si>
  <si>
    <t>górnictwo i hutnictwo</t>
  </si>
  <si>
    <t>handel hurtowy</t>
  </si>
  <si>
    <t>motoryzacja</t>
  </si>
  <si>
    <t>produkcja</t>
  </si>
  <si>
    <t>ochrona zdrowia i farmacja</t>
  </si>
  <si>
    <t>żywność</t>
  </si>
  <si>
    <t>media, telekomunkacja, IT</t>
  </si>
  <si>
    <t>chemia</t>
  </si>
  <si>
    <t>transport</t>
  </si>
  <si>
    <t>Eksport %_2024</t>
  </si>
  <si>
    <t>Intensywność eksportu_2024</t>
  </si>
  <si>
    <t>K/Z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</si>
</sst>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 * #,##0_)_ ;_ * \(#,##0\)_ ;_ * &quot;-&quot;??_)_ ;_ @_ 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165" fontId="0" fillId="0" borderId="0" xfId="2" applyNumberFormat="1" applyFon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" xfId="0" applyNumberFormat="1" applyFont="1" applyBorder="1" applyAlignment="1">
      <alignment horizontal="center" vertical="top" wrapText="1"/>
    </xf>
    <xf numFmtId="0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55"/>
  <sheetViews>
    <sheetView tabSelected="1" workbookViewId="0">
      <pane xSplit="3" ySplit="1" topLeftCell="F2" activePane="bottomRight" state="frozen"/>
      <selection pane="topRight" activeCell="N1" sqref="N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1" width="5.1640625" bestFit="1" customWidth="1"/>
    <col min="2" max="2" width="94" bestFit="1" customWidth="1"/>
    <col min="3" max="3" width="11.1640625" customWidth="1"/>
    <col min="4" max="4" width="5.1640625" bestFit="1" customWidth="1"/>
    <col min="5" max="5" width="123.6640625" bestFit="1" customWidth="1"/>
    <col min="6" max="6" width="21.83203125" bestFit="1" customWidth="1"/>
    <col min="7" max="7" width="14.83203125" style="7" customWidth="1"/>
    <col min="8" max="8" width="8.83203125" bestFit="1" customWidth="1"/>
    <col min="9" max="12" width="15.33203125" customWidth="1"/>
    <col min="13" max="13" width="16.1640625" customWidth="1"/>
    <col min="14" max="27" width="15.33203125" customWidth="1"/>
    <col min="28" max="28" width="17.1640625" customWidth="1"/>
    <col min="29" max="38" width="15.33203125" customWidth="1"/>
  </cols>
  <sheetData>
    <row r="1" spans="1:38" s="5" customFormat="1" ht="6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3" t="s">
        <v>1314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4" t="s">
        <v>1312</v>
      </c>
      <c r="P1" s="4" t="s">
        <v>1313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12</v>
      </c>
      <c r="AD1" s="4" t="s">
        <v>1312</v>
      </c>
      <c r="AE1" s="4" t="s">
        <v>1313</v>
      </c>
      <c r="AF1" s="3" t="s">
        <v>13</v>
      </c>
      <c r="AG1" s="3" t="s">
        <v>14</v>
      </c>
      <c r="AH1" s="3" t="s">
        <v>15</v>
      </c>
      <c r="AI1" s="3" t="s">
        <v>16</v>
      </c>
      <c r="AJ1" s="3" t="s">
        <v>17</v>
      </c>
      <c r="AK1" s="3" t="s">
        <v>18</v>
      </c>
      <c r="AL1" s="3" t="s">
        <v>19</v>
      </c>
    </row>
    <row r="2" spans="1:38" x14ac:dyDescent="0.2">
      <c r="A2">
        <v>1</v>
      </c>
      <c r="B2" t="s">
        <v>55</v>
      </c>
      <c r="C2" t="s">
        <v>511</v>
      </c>
      <c r="D2" t="s">
        <v>54</v>
      </c>
      <c r="E2" t="s">
        <v>1119</v>
      </c>
      <c r="F2" t="s">
        <v>1300</v>
      </c>
      <c r="G2" s="7">
        <v>412</v>
      </c>
      <c r="H2" t="str">
        <f>IF(G2&lt;500,"K","Z")</f>
        <v>K</v>
      </c>
      <c r="I2" s="1">
        <v>111203000</v>
      </c>
      <c r="J2" s="1">
        <v>5365000</v>
      </c>
      <c r="K2" s="1">
        <v>5352000</v>
      </c>
      <c r="L2" s="1">
        <v>4298000</v>
      </c>
      <c r="M2" s="1">
        <v>3497000</v>
      </c>
      <c r="N2" s="1">
        <v>88962400</v>
      </c>
      <c r="O2" s="2">
        <f t="shared" ref="O2:O65" si="0">IF(I2=0,0,N2/I2)</f>
        <v>0.8</v>
      </c>
      <c r="P2">
        <f t="shared" ref="P2:P65" si="1">IF(O2&gt;50%,1,0)</f>
        <v>1</v>
      </c>
      <c r="Q2" s="1">
        <v>22337</v>
      </c>
      <c r="R2" s="1">
        <v>2799000</v>
      </c>
      <c r="S2" s="1">
        <v>71202000</v>
      </c>
      <c r="T2" s="1">
        <v>39277000</v>
      </c>
      <c r="U2" s="1">
        <v>31925000</v>
      </c>
      <c r="V2" s="1">
        <v>38607000</v>
      </c>
      <c r="W2" s="1">
        <v>32595000</v>
      </c>
      <c r="X2" s="1">
        <v>294976000</v>
      </c>
      <c r="Y2" s="1">
        <v>7947000</v>
      </c>
      <c r="Z2" s="1">
        <v>7619000</v>
      </c>
      <c r="AA2" s="1">
        <v>1383000</v>
      </c>
      <c r="AB2" s="1">
        <v>14014000</v>
      </c>
      <c r="AC2" s="1">
        <v>99189000</v>
      </c>
      <c r="AD2" s="2">
        <f t="shared" ref="AD2:AD65" si="2">IF(X2=0,0,AC2/X2)</f>
        <v>0.33626125515296162</v>
      </c>
      <c r="AE2">
        <f t="shared" ref="AE2:AE65" si="3">IF(AD2&gt;50%,1,0)</f>
        <v>0</v>
      </c>
      <c r="AF2" s="1">
        <v>67809</v>
      </c>
      <c r="AG2" s="1">
        <v>12137000</v>
      </c>
      <c r="AH2" s="1">
        <v>255368000</v>
      </c>
      <c r="AI2" s="1">
        <v>186761000</v>
      </c>
      <c r="AJ2" s="1">
        <v>68607000</v>
      </c>
      <c r="AK2" s="1">
        <v>146689000</v>
      </c>
      <c r="AL2" s="1">
        <v>108679000</v>
      </c>
    </row>
    <row r="3" spans="1:38" x14ac:dyDescent="0.2">
      <c r="A3">
        <v>2</v>
      </c>
      <c r="B3" t="s">
        <v>56</v>
      </c>
      <c r="C3" t="s">
        <v>512</v>
      </c>
      <c r="D3" t="s">
        <v>963</v>
      </c>
      <c r="E3" t="s">
        <v>1120</v>
      </c>
      <c r="F3" t="s">
        <v>1301</v>
      </c>
      <c r="G3" s="7">
        <v>500</v>
      </c>
      <c r="H3" t="str">
        <f t="shared" ref="H3:H66" si="4">IF(G3&lt;500,"K","Z")</f>
        <v>Z</v>
      </c>
      <c r="I3" s="1">
        <v>55573747.039999999</v>
      </c>
      <c r="J3" s="1">
        <v>2800737</v>
      </c>
      <c r="K3" s="1">
        <v>2733767</v>
      </c>
      <c r="L3" s="1">
        <v>2241447</v>
      </c>
      <c r="M3" s="1">
        <v>1052710</v>
      </c>
      <c r="N3" s="1">
        <v>0</v>
      </c>
      <c r="O3" s="2">
        <f t="shared" si="0"/>
        <v>0</v>
      </c>
      <c r="P3">
        <f t="shared" si="1"/>
        <v>0</v>
      </c>
      <c r="Q3" s="1">
        <v>68159</v>
      </c>
      <c r="R3" s="1">
        <v>3641448.3909999998</v>
      </c>
      <c r="S3" s="1">
        <v>15387833</v>
      </c>
      <c r="T3" s="1">
        <v>8356124</v>
      </c>
      <c r="U3" s="1">
        <v>7031709</v>
      </c>
      <c r="V3" s="1">
        <v>3469188</v>
      </c>
      <c r="W3" s="1">
        <v>11918644.112</v>
      </c>
      <c r="X3" s="1">
        <v>101987368.8</v>
      </c>
      <c r="Y3" s="1">
        <v>3902351</v>
      </c>
      <c r="Z3" s="1">
        <v>4265584.8</v>
      </c>
      <c r="AA3" s="1">
        <v>3431279.6</v>
      </c>
      <c r="AB3" s="1">
        <v>1358446</v>
      </c>
      <c r="AC3" s="1">
        <v>0</v>
      </c>
      <c r="AD3" s="2">
        <f t="shared" si="2"/>
        <v>0</v>
      </c>
      <c r="AE3">
        <f t="shared" si="3"/>
        <v>0</v>
      </c>
      <c r="AF3" s="1">
        <v>81311</v>
      </c>
      <c r="AG3" s="1">
        <v>6868468</v>
      </c>
      <c r="AH3" s="1">
        <v>26796211</v>
      </c>
      <c r="AI3" s="1">
        <v>13173319</v>
      </c>
      <c r="AJ3" s="1">
        <v>13622892</v>
      </c>
      <c r="AK3" s="1">
        <v>4594369.5999999996</v>
      </c>
      <c r="AL3" s="1">
        <v>22201851</v>
      </c>
    </row>
    <row r="4" spans="1:38" x14ac:dyDescent="0.2">
      <c r="A4">
        <v>4</v>
      </c>
      <c r="B4" t="s">
        <v>58</v>
      </c>
      <c r="C4" t="s">
        <v>514</v>
      </c>
      <c r="D4" t="s">
        <v>965</v>
      </c>
      <c r="E4" t="s">
        <v>1122</v>
      </c>
      <c r="F4" t="s">
        <v>1302</v>
      </c>
      <c r="G4" s="7">
        <v>145</v>
      </c>
      <c r="H4" t="str">
        <f t="shared" si="4"/>
        <v>K</v>
      </c>
      <c r="I4" s="1">
        <v>37627000</v>
      </c>
      <c r="J4" s="1">
        <v>-4175000</v>
      </c>
      <c r="K4" s="1">
        <v>-4703000</v>
      </c>
      <c r="L4" s="1">
        <v>-3928000</v>
      </c>
      <c r="M4" s="1">
        <v>11316000</v>
      </c>
      <c r="N4" s="1">
        <v>150000</v>
      </c>
      <c r="O4" s="2">
        <f t="shared" si="0"/>
        <v>3.9864990565285563E-3</v>
      </c>
      <c r="P4">
        <f t="shared" si="1"/>
        <v>0</v>
      </c>
      <c r="Q4" s="1">
        <v>41934</v>
      </c>
      <c r="R4" s="1">
        <v>4658000</v>
      </c>
      <c r="S4" s="1">
        <v>77650000</v>
      </c>
      <c r="T4" s="1">
        <v>65055000</v>
      </c>
      <c r="U4" s="1">
        <v>12595000</v>
      </c>
      <c r="V4" s="1">
        <v>43137000</v>
      </c>
      <c r="W4" s="1">
        <v>34513000</v>
      </c>
      <c r="X4" s="1">
        <v>64483000</v>
      </c>
      <c r="Y4" s="1">
        <v>-65000</v>
      </c>
      <c r="Z4" s="1">
        <v>-772000</v>
      </c>
      <c r="AA4" s="1">
        <v>-3088000</v>
      </c>
      <c r="AB4" s="1">
        <v>12279000</v>
      </c>
      <c r="AC4" s="1">
        <v>31000</v>
      </c>
      <c r="AD4" s="2">
        <f t="shared" si="2"/>
        <v>4.8074686351441464E-4</v>
      </c>
      <c r="AE4">
        <f t="shared" si="3"/>
        <v>0</v>
      </c>
      <c r="AF4" s="1">
        <v>42198</v>
      </c>
      <c r="AG4" s="1">
        <v>7117000</v>
      </c>
      <c r="AH4" s="1">
        <v>103994000</v>
      </c>
      <c r="AI4" s="1">
        <v>76302000</v>
      </c>
      <c r="AJ4" s="1">
        <v>27692000</v>
      </c>
      <c r="AK4" s="1">
        <v>45529000</v>
      </c>
      <c r="AL4" s="1">
        <v>58465000</v>
      </c>
    </row>
    <row r="5" spans="1:38" x14ac:dyDescent="0.2">
      <c r="A5">
        <v>6</v>
      </c>
      <c r="B5" t="s">
        <v>139</v>
      </c>
      <c r="C5" t="s">
        <v>595</v>
      </c>
      <c r="D5" t="s">
        <v>994</v>
      </c>
      <c r="E5" t="s">
        <v>1139</v>
      </c>
      <c r="F5" t="s">
        <v>1300</v>
      </c>
      <c r="G5" s="7">
        <v>500</v>
      </c>
      <c r="H5" t="str">
        <f t="shared" si="4"/>
        <v>Z</v>
      </c>
      <c r="I5" s="1">
        <v>26507094</v>
      </c>
      <c r="J5" s="1">
        <v>291617</v>
      </c>
      <c r="K5" s="1">
        <v>257230</v>
      </c>
      <c r="L5" s="1">
        <v>206891</v>
      </c>
      <c r="M5" s="1">
        <v>112521</v>
      </c>
      <c r="N5" s="1">
        <v>0</v>
      </c>
      <c r="O5" s="2">
        <f t="shared" si="0"/>
        <v>0</v>
      </c>
      <c r="P5">
        <f t="shared" si="1"/>
        <v>0</v>
      </c>
      <c r="Q5" s="1">
        <v>293</v>
      </c>
      <c r="R5" s="1">
        <v>56503</v>
      </c>
      <c r="S5" s="1">
        <v>3583893</v>
      </c>
      <c r="T5" s="1">
        <v>1582427</v>
      </c>
      <c r="U5" s="1">
        <v>2001466</v>
      </c>
      <c r="V5" s="1">
        <v>1011775</v>
      </c>
      <c r="W5" s="1">
        <v>2572118</v>
      </c>
      <c r="X5" s="1">
        <v>6445765</v>
      </c>
      <c r="Y5" s="1">
        <v>-51328</v>
      </c>
      <c r="Z5" s="1">
        <v>-97053</v>
      </c>
      <c r="AA5" s="1">
        <v>-81468</v>
      </c>
      <c r="AB5" s="1">
        <v>147750</v>
      </c>
      <c r="AC5" s="1">
        <v>0</v>
      </c>
      <c r="AD5" s="2">
        <f t="shared" si="2"/>
        <v>0</v>
      </c>
      <c r="AE5">
        <f t="shared" si="3"/>
        <v>0</v>
      </c>
      <c r="AF5" s="1">
        <v>263</v>
      </c>
      <c r="AG5" s="1">
        <v>60090</v>
      </c>
      <c r="AH5" s="1">
        <v>2350629</v>
      </c>
      <c r="AI5" s="1">
        <v>1924592</v>
      </c>
      <c r="AJ5" s="1">
        <v>426037</v>
      </c>
      <c r="AK5" s="1">
        <v>1001684</v>
      </c>
      <c r="AL5" s="1">
        <v>1348945</v>
      </c>
    </row>
    <row r="6" spans="1:38" x14ac:dyDescent="0.2">
      <c r="A6">
        <v>7</v>
      </c>
      <c r="B6" t="s">
        <v>63</v>
      </c>
      <c r="C6" t="s">
        <v>519</v>
      </c>
      <c r="D6" t="s">
        <v>969</v>
      </c>
      <c r="E6" t="s">
        <v>1126</v>
      </c>
      <c r="F6" t="s">
        <v>1304</v>
      </c>
      <c r="G6" s="7">
        <v>450</v>
      </c>
      <c r="H6" t="str">
        <f t="shared" si="4"/>
        <v>K</v>
      </c>
      <c r="I6" s="1">
        <v>24852241</v>
      </c>
      <c r="J6" s="1">
        <v>244522</v>
      </c>
      <c r="K6" s="1">
        <v>113423</v>
      </c>
      <c r="L6" s="1">
        <v>79126</v>
      </c>
      <c r="M6" s="1">
        <v>549557</v>
      </c>
      <c r="N6" s="1">
        <v>0</v>
      </c>
      <c r="O6" s="2">
        <f t="shared" si="0"/>
        <v>0</v>
      </c>
      <c r="P6">
        <f t="shared" si="1"/>
        <v>0</v>
      </c>
      <c r="Q6" s="1">
        <v>22244</v>
      </c>
      <c r="R6" s="1">
        <v>1418801</v>
      </c>
      <c r="S6" s="1">
        <v>7885007</v>
      </c>
      <c r="T6" s="1">
        <v>4912608</v>
      </c>
      <c r="U6" s="1">
        <v>2972399</v>
      </c>
      <c r="V6" s="1">
        <v>963399</v>
      </c>
      <c r="W6" s="1">
        <v>6921608</v>
      </c>
      <c r="X6" s="1">
        <v>32241140</v>
      </c>
      <c r="Y6" s="1">
        <v>284554</v>
      </c>
      <c r="Z6" s="1">
        <v>35485</v>
      </c>
      <c r="AA6" s="1">
        <v>3841</v>
      </c>
      <c r="AB6" s="1">
        <v>648965</v>
      </c>
      <c r="AC6" s="1">
        <v>0</v>
      </c>
      <c r="AD6" s="2">
        <f t="shared" si="2"/>
        <v>0</v>
      </c>
      <c r="AE6">
        <f t="shared" si="3"/>
        <v>0</v>
      </c>
      <c r="AF6" s="1">
        <v>16380</v>
      </c>
      <c r="AG6" s="1">
        <v>1702369</v>
      </c>
      <c r="AH6" s="1">
        <v>9159385</v>
      </c>
      <c r="AI6" s="1">
        <v>4989001</v>
      </c>
      <c r="AJ6" s="1">
        <v>4170384</v>
      </c>
      <c r="AK6" s="1">
        <v>862468</v>
      </c>
      <c r="AL6" s="1">
        <v>8296918</v>
      </c>
    </row>
    <row r="7" spans="1:38" x14ac:dyDescent="0.2">
      <c r="A7">
        <v>8</v>
      </c>
      <c r="B7" t="s">
        <v>60</v>
      </c>
      <c r="C7" t="s">
        <v>516</v>
      </c>
      <c r="D7" t="s">
        <v>967</v>
      </c>
      <c r="E7" t="s">
        <v>1124</v>
      </c>
      <c r="F7" t="s">
        <v>1303</v>
      </c>
      <c r="G7" s="7">
        <v>415</v>
      </c>
      <c r="H7" t="str">
        <f t="shared" si="4"/>
        <v>K</v>
      </c>
      <c r="I7" s="1">
        <v>22723000</v>
      </c>
      <c r="J7" s="1">
        <v>2122000</v>
      </c>
      <c r="K7" s="1">
        <v>2122000</v>
      </c>
      <c r="L7" s="1">
        <v>1421000</v>
      </c>
      <c r="M7" s="1">
        <v>1920000</v>
      </c>
      <c r="N7" s="1">
        <v>17042250</v>
      </c>
      <c r="O7" s="2">
        <f t="shared" si="0"/>
        <v>0.75</v>
      </c>
      <c r="P7">
        <f t="shared" si="1"/>
        <v>1</v>
      </c>
      <c r="Q7" s="1">
        <v>33534</v>
      </c>
      <c r="R7" s="1">
        <v>5354000</v>
      </c>
      <c r="S7" s="1">
        <v>39409000</v>
      </c>
      <c r="T7" s="1">
        <v>31669000</v>
      </c>
      <c r="U7" s="1">
        <v>7740000</v>
      </c>
      <c r="V7" s="1">
        <v>20202000</v>
      </c>
      <c r="W7" s="1">
        <v>19207000</v>
      </c>
      <c r="X7" s="1">
        <v>35320000</v>
      </c>
      <c r="Y7" s="1">
        <v>4989000</v>
      </c>
      <c r="Z7" s="1">
        <v>4608000</v>
      </c>
      <c r="AA7" s="1">
        <v>2870000</v>
      </c>
      <c r="AB7" s="1">
        <v>2006000</v>
      </c>
      <c r="AC7" s="1">
        <v>26116000</v>
      </c>
      <c r="AD7" s="2">
        <f t="shared" si="2"/>
        <v>0.73941109852774634</v>
      </c>
      <c r="AE7">
        <f t="shared" si="3"/>
        <v>1</v>
      </c>
      <c r="AF7" s="1">
        <v>34492</v>
      </c>
      <c r="AG7" s="1">
        <v>8686000</v>
      </c>
      <c r="AH7" s="1">
        <v>53892000</v>
      </c>
      <c r="AI7" s="1">
        <v>42285000</v>
      </c>
      <c r="AJ7" s="1">
        <v>11607000</v>
      </c>
      <c r="AK7" s="1">
        <v>31058000</v>
      </c>
      <c r="AL7" s="1">
        <v>22834000</v>
      </c>
    </row>
    <row r="8" spans="1:38" x14ac:dyDescent="0.2">
      <c r="A8">
        <v>9</v>
      </c>
      <c r="B8" t="s">
        <v>490</v>
      </c>
      <c r="C8" t="s">
        <v>946</v>
      </c>
      <c r="D8" t="s">
        <v>1115</v>
      </c>
      <c r="E8" t="s">
        <v>1293</v>
      </c>
      <c r="F8" t="s">
        <v>1300</v>
      </c>
      <c r="G8" s="7">
        <v>240</v>
      </c>
      <c r="H8" t="str">
        <f t="shared" si="4"/>
        <v>K</v>
      </c>
      <c r="I8" s="1">
        <v>21705818</v>
      </c>
      <c r="J8" s="1">
        <v>128702</v>
      </c>
      <c r="K8" s="1">
        <v>134003</v>
      </c>
      <c r="L8" s="1">
        <v>105519</v>
      </c>
      <c r="M8" s="1">
        <v>17791</v>
      </c>
      <c r="N8" s="1">
        <v>28666</v>
      </c>
      <c r="O8" s="2">
        <f t="shared" si="0"/>
        <v>1.3206597420101836E-3</v>
      </c>
      <c r="P8">
        <f t="shared" si="1"/>
        <v>0</v>
      </c>
      <c r="Q8" s="1">
        <v>355</v>
      </c>
      <c r="R8" s="1">
        <v>48598</v>
      </c>
      <c r="S8" s="1">
        <v>1747206</v>
      </c>
      <c r="T8" s="1">
        <v>176585</v>
      </c>
      <c r="U8" s="1">
        <v>1570621</v>
      </c>
      <c r="V8" s="1">
        <v>301158</v>
      </c>
      <c r="W8" s="1">
        <v>1446048</v>
      </c>
      <c r="X8" s="1">
        <v>28702865</v>
      </c>
      <c r="Y8" s="1">
        <v>184030</v>
      </c>
      <c r="Z8" s="1">
        <v>235354</v>
      </c>
      <c r="AA8" s="1">
        <v>188783</v>
      </c>
      <c r="AB8" s="1">
        <v>28451</v>
      </c>
      <c r="AC8" s="1">
        <v>12050</v>
      </c>
      <c r="AD8" s="2">
        <f t="shared" si="2"/>
        <v>4.1981871844500539E-4</v>
      </c>
      <c r="AE8">
        <f t="shared" si="3"/>
        <v>0</v>
      </c>
      <c r="AF8" s="1">
        <v>344</v>
      </c>
      <c r="AG8" s="1">
        <v>72848</v>
      </c>
      <c r="AH8" s="1">
        <v>3083029</v>
      </c>
      <c r="AI8" s="1">
        <v>313159</v>
      </c>
      <c r="AJ8" s="1">
        <v>2769870</v>
      </c>
      <c r="AK8" s="1">
        <v>410808</v>
      </c>
      <c r="AL8" s="1">
        <v>2672221</v>
      </c>
    </row>
    <row r="9" spans="1:38" x14ac:dyDescent="0.2">
      <c r="A9">
        <v>10</v>
      </c>
      <c r="B9" t="s">
        <v>59</v>
      </c>
      <c r="C9" t="s">
        <v>515</v>
      </c>
      <c r="D9" t="s">
        <v>966</v>
      </c>
      <c r="E9" t="s">
        <v>1123</v>
      </c>
      <c r="F9" t="s">
        <v>1301</v>
      </c>
      <c r="G9" s="7">
        <v>500</v>
      </c>
      <c r="H9" t="str">
        <f t="shared" si="4"/>
        <v>Z</v>
      </c>
      <c r="I9" s="1">
        <v>21703380</v>
      </c>
      <c r="J9" s="1">
        <v>1130531</v>
      </c>
      <c r="K9" s="1">
        <v>1120699</v>
      </c>
      <c r="L9" s="1">
        <v>1120699</v>
      </c>
      <c r="M9" s="1">
        <v>413047</v>
      </c>
      <c r="N9" s="1">
        <v>27740</v>
      </c>
      <c r="O9" s="2">
        <f t="shared" si="0"/>
        <v>1.2781419299666688E-3</v>
      </c>
      <c r="P9">
        <f t="shared" si="1"/>
        <v>0</v>
      </c>
      <c r="Q9" s="1">
        <v>19483</v>
      </c>
      <c r="R9" s="1">
        <v>1180097</v>
      </c>
      <c r="S9" s="1">
        <v>11572875</v>
      </c>
      <c r="T9" s="1">
        <v>9121002</v>
      </c>
      <c r="U9" s="1">
        <v>2451873</v>
      </c>
      <c r="V9" s="1">
        <v>7597785</v>
      </c>
      <c r="W9" s="1">
        <v>3975090</v>
      </c>
      <c r="X9" s="1">
        <v>41334465</v>
      </c>
      <c r="Y9" s="1">
        <v>1986460</v>
      </c>
      <c r="Z9" s="1">
        <v>2153385</v>
      </c>
      <c r="AA9" s="1">
        <v>1677667</v>
      </c>
      <c r="AB9" s="1">
        <v>868464</v>
      </c>
      <c r="AC9" s="1">
        <v>6850000</v>
      </c>
      <c r="AD9" s="2">
        <f t="shared" si="2"/>
        <v>0.16572126916363863</v>
      </c>
      <c r="AE9">
        <f t="shared" si="3"/>
        <v>0</v>
      </c>
      <c r="AF9" s="1">
        <v>26000</v>
      </c>
      <c r="AG9" s="1">
        <v>2324327</v>
      </c>
      <c r="AH9" s="1">
        <v>20171082</v>
      </c>
      <c r="AI9" s="1">
        <v>13412619</v>
      </c>
      <c r="AJ9" s="1">
        <v>6758463</v>
      </c>
      <c r="AK9" s="1">
        <v>14030748</v>
      </c>
      <c r="AL9" s="1">
        <v>6140334</v>
      </c>
    </row>
    <row r="10" spans="1:38" x14ac:dyDescent="0.2">
      <c r="A10">
        <v>11</v>
      </c>
      <c r="B10" t="s">
        <v>62</v>
      </c>
      <c r="C10" t="s">
        <v>518</v>
      </c>
      <c r="D10" t="s">
        <v>968</v>
      </c>
      <c r="E10" t="s">
        <v>1125</v>
      </c>
      <c r="F10" t="s">
        <v>1302</v>
      </c>
      <c r="G10" s="7">
        <v>145</v>
      </c>
      <c r="H10" t="str">
        <f t="shared" si="4"/>
        <v>K</v>
      </c>
      <c r="I10" s="1">
        <v>19112336</v>
      </c>
      <c r="J10" s="1">
        <v>199048</v>
      </c>
      <c r="K10" s="1">
        <v>-15368</v>
      </c>
      <c r="L10" s="1">
        <v>-11683</v>
      </c>
      <c r="M10" s="1">
        <v>1991733</v>
      </c>
      <c r="N10" s="1">
        <v>204386</v>
      </c>
      <c r="O10" s="2">
        <f t="shared" si="0"/>
        <v>1.0693930872709647E-2</v>
      </c>
      <c r="P10">
        <f t="shared" si="1"/>
        <v>0</v>
      </c>
      <c r="Q10" s="1">
        <v>26086</v>
      </c>
      <c r="R10" s="1">
        <v>2563472</v>
      </c>
      <c r="S10" s="1">
        <v>41917765</v>
      </c>
      <c r="T10" s="1">
        <v>35052287</v>
      </c>
      <c r="U10" s="1">
        <v>6865478</v>
      </c>
      <c r="V10" s="1">
        <v>19092660</v>
      </c>
      <c r="W10" s="1">
        <v>22825105</v>
      </c>
      <c r="X10" s="1">
        <v>32535000</v>
      </c>
      <c r="Y10" s="1">
        <v>2651000</v>
      </c>
      <c r="Z10" s="1">
        <v>1886000</v>
      </c>
      <c r="AA10" s="1">
        <v>590000</v>
      </c>
      <c r="AB10" s="1">
        <v>2349000</v>
      </c>
      <c r="AC10" s="1">
        <v>294000</v>
      </c>
      <c r="AD10" s="2">
        <f t="shared" si="2"/>
        <v>9.036422314430614E-3</v>
      </c>
      <c r="AE10">
        <f t="shared" si="3"/>
        <v>0</v>
      </c>
      <c r="AF10" s="1">
        <v>18742</v>
      </c>
      <c r="AG10" s="1">
        <v>2965000</v>
      </c>
      <c r="AH10" s="1">
        <v>45714000</v>
      </c>
      <c r="AI10" s="1">
        <v>38069000</v>
      </c>
      <c r="AJ10" s="1">
        <v>7645000</v>
      </c>
      <c r="AK10" s="1">
        <v>17754000</v>
      </c>
      <c r="AL10" s="1">
        <v>27960000</v>
      </c>
    </row>
    <row r="11" spans="1:38" x14ac:dyDescent="0.2">
      <c r="A11">
        <v>12</v>
      </c>
      <c r="B11" t="s">
        <v>66</v>
      </c>
      <c r="C11" t="s">
        <v>522</v>
      </c>
      <c r="D11" t="s">
        <v>971</v>
      </c>
      <c r="E11" t="s">
        <v>1128</v>
      </c>
      <c r="F11" t="s">
        <v>1305</v>
      </c>
      <c r="G11" s="7">
        <v>500</v>
      </c>
      <c r="H11" t="str">
        <f t="shared" si="4"/>
        <v>Z</v>
      </c>
      <c r="I11" s="1">
        <v>18605498</v>
      </c>
      <c r="J11" s="1">
        <v>656680</v>
      </c>
      <c r="K11" s="1">
        <v>580502</v>
      </c>
      <c r="L11" s="1">
        <v>493443</v>
      </c>
      <c r="M11" s="1">
        <v>606667</v>
      </c>
      <c r="N11" s="1">
        <v>17540070</v>
      </c>
      <c r="O11" s="2">
        <f t="shared" si="0"/>
        <v>0.94273585152087835</v>
      </c>
      <c r="P11">
        <f t="shared" si="1"/>
        <v>1</v>
      </c>
      <c r="Q11" s="1">
        <v>10762</v>
      </c>
      <c r="R11" s="1">
        <v>1450315</v>
      </c>
      <c r="S11" s="1">
        <v>8188457</v>
      </c>
      <c r="T11" s="1">
        <v>6130664</v>
      </c>
      <c r="U11" s="1">
        <v>2057793</v>
      </c>
      <c r="V11" s="1">
        <v>3765187</v>
      </c>
      <c r="W11" s="1">
        <v>4423269</v>
      </c>
      <c r="X11" s="1">
        <v>24905570</v>
      </c>
      <c r="Y11" s="1">
        <v>913708</v>
      </c>
      <c r="Z11" s="1">
        <v>795637</v>
      </c>
      <c r="AA11" s="1">
        <v>639159</v>
      </c>
      <c r="AB11" s="1">
        <v>636212</v>
      </c>
      <c r="AC11" s="1">
        <v>23602813</v>
      </c>
      <c r="AD11" s="2">
        <f t="shared" si="2"/>
        <v>0.94769214276163927</v>
      </c>
      <c r="AE11">
        <f t="shared" si="3"/>
        <v>1</v>
      </c>
      <c r="AF11" s="1">
        <v>9289</v>
      </c>
      <c r="AG11" s="1">
        <v>1663364</v>
      </c>
      <c r="AH11" s="1">
        <v>8215264</v>
      </c>
      <c r="AI11" s="1">
        <v>5442369</v>
      </c>
      <c r="AJ11" s="1">
        <v>2772895</v>
      </c>
      <c r="AK11" s="1">
        <v>3737662</v>
      </c>
      <c r="AL11" s="1">
        <v>4477602</v>
      </c>
    </row>
    <row r="12" spans="1:38" x14ac:dyDescent="0.2">
      <c r="A12">
        <v>14</v>
      </c>
      <c r="B12" t="s">
        <v>72</v>
      </c>
      <c r="C12" t="s">
        <v>528</v>
      </c>
      <c r="D12" t="s">
        <v>975</v>
      </c>
      <c r="E12" t="s">
        <v>1132</v>
      </c>
      <c r="F12" t="s">
        <v>1303</v>
      </c>
      <c r="G12" s="7">
        <v>500</v>
      </c>
      <c r="H12" t="str">
        <f t="shared" si="4"/>
        <v>Z</v>
      </c>
      <c r="I12" s="1">
        <v>16634332</v>
      </c>
      <c r="J12" s="1">
        <v>-596353</v>
      </c>
      <c r="K12" s="1">
        <v>-540067</v>
      </c>
      <c r="L12" s="1">
        <v>-437599</v>
      </c>
      <c r="M12" s="1">
        <v>365619</v>
      </c>
      <c r="N12" s="1">
        <v>7901900</v>
      </c>
      <c r="O12" s="2">
        <f t="shared" si="0"/>
        <v>0.4750356070805849</v>
      </c>
      <c r="P12">
        <f t="shared" si="1"/>
        <v>0</v>
      </c>
      <c r="Q12" s="1">
        <v>9603</v>
      </c>
      <c r="R12" s="1">
        <v>952929</v>
      </c>
      <c r="S12" s="1">
        <v>14397457</v>
      </c>
      <c r="T12" s="1">
        <v>7665289</v>
      </c>
      <c r="U12" s="1">
        <v>6732168</v>
      </c>
      <c r="V12" s="1">
        <v>7633873</v>
      </c>
      <c r="W12" s="1">
        <v>6763584</v>
      </c>
      <c r="X12" s="1">
        <v>21539474</v>
      </c>
      <c r="Y12" s="1">
        <v>-1064321</v>
      </c>
      <c r="Z12" s="1">
        <v>-1292849</v>
      </c>
      <c r="AA12" s="1">
        <v>-1330154</v>
      </c>
      <c r="AB12" s="1">
        <v>428988</v>
      </c>
      <c r="AC12" s="1">
        <v>7755181</v>
      </c>
      <c r="AD12" s="2">
        <f t="shared" si="2"/>
        <v>0.36004505031088502</v>
      </c>
      <c r="AE12">
        <f t="shared" si="3"/>
        <v>0</v>
      </c>
      <c r="AF12" s="1">
        <v>7960</v>
      </c>
      <c r="AG12" s="1">
        <v>1174883</v>
      </c>
      <c r="AH12" s="1">
        <v>15786595</v>
      </c>
      <c r="AI12" s="1">
        <v>7855320</v>
      </c>
      <c r="AJ12" s="1">
        <v>7931275</v>
      </c>
      <c r="AK12" s="1">
        <v>5763107</v>
      </c>
      <c r="AL12" s="1">
        <v>10023488</v>
      </c>
    </row>
    <row r="13" spans="1:38" x14ac:dyDescent="0.2">
      <c r="A13">
        <v>15</v>
      </c>
      <c r="B13" t="s">
        <v>61</v>
      </c>
      <c r="C13" t="s">
        <v>517</v>
      </c>
      <c r="D13" t="s">
        <v>968</v>
      </c>
      <c r="E13" t="s">
        <v>1125</v>
      </c>
      <c r="F13" t="s">
        <v>1302</v>
      </c>
      <c r="G13" s="7">
        <v>145</v>
      </c>
      <c r="H13" t="str">
        <f t="shared" si="4"/>
        <v>K</v>
      </c>
      <c r="I13" s="1">
        <v>15796298</v>
      </c>
      <c r="J13" s="1">
        <v>1784127</v>
      </c>
      <c r="K13" s="1">
        <v>871271</v>
      </c>
      <c r="L13" s="1">
        <v>540697</v>
      </c>
      <c r="M13" s="1">
        <v>1548268</v>
      </c>
      <c r="N13" s="1">
        <v>0</v>
      </c>
      <c r="O13" s="2">
        <f t="shared" si="0"/>
        <v>0</v>
      </c>
      <c r="P13">
        <f t="shared" si="1"/>
        <v>0</v>
      </c>
      <c r="Q13" s="1">
        <v>16996</v>
      </c>
      <c r="R13" s="1">
        <v>1904022</v>
      </c>
      <c r="S13" s="1">
        <v>32843854</v>
      </c>
      <c r="T13" s="1">
        <v>23792019</v>
      </c>
      <c r="U13" s="1">
        <v>9051835</v>
      </c>
      <c r="V13" s="1">
        <v>15479771</v>
      </c>
      <c r="W13" s="1">
        <v>17364083</v>
      </c>
      <c r="X13" s="1">
        <v>32974581</v>
      </c>
      <c r="Y13" s="1">
        <v>3059910</v>
      </c>
      <c r="Z13" s="1">
        <v>2396182</v>
      </c>
      <c r="AA13" s="1">
        <v>956141</v>
      </c>
      <c r="AB13" s="1">
        <v>1508508</v>
      </c>
      <c r="AC13" s="1">
        <v>0</v>
      </c>
      <c r="AD13" s="2">
        <f t="shared" si="2"/>
        <v>0</v>
      </c>
      <c r="AE13">
        <f t="shared" si="3"/>
        <v>0</v>
      </c>
      <c r="AF13" s="1">
        <v>18037</v>
      </c>
      <c r="AG13" s="1">
        <v>3495474</v>
      </c>
      <c r="AH13" s="1">
        <v>39467853</v>
      </c>
      <c r="AI13" s="1">
        <v>20339356</v>
      </c>
      <c r="AJ13" s="1">
        <v>19128497</v>
      </c>
      <c r="AK13" s="1">
        <v>16332818</v>
      </c>
      <c r="AL13" s="1">
        <v>23135035</v>
      </c>
    </row>
    <row r="14" spans="1:38" x14ac:dyDescent="0.2">
      <c r="A14">
        <v>16</v>
      </c>
      <c r="B14" t="s">
        <v>73</v>
      </c>
      <c r="C14" t="s">
        <v>529</v>
      </c>
      <c r="D14" t="s">
        <v>974</v>
      </c>
      <c r="E14" t="s">
        <v>1131</v>
      </c>
      <c r="F14" t="s">
        <v>1305</v>
      </c>
      <c r="G14" s="7">
        <v>500</v>
      </c>
      <c r="H14" t="str">
        <f t="shared" si="4"/>
        <v>Z</v>
      </c>
      <c r="I14" s="1">
        <v>15487234</v>
      </c>
      <c r="J14" s="1">
        <v>226481</v>
      </c>
      <c r="K14" s="1">
        <v>183871</v>
      </c>
      <c r="L14" s="1">
        <v>146542</v>
      </c>
      <c r="M14" s="1">
        <v>15524</v>
      </c>
      <c r="N14" s="1">
        <v>55251</v>
      </c>
      <c r="O14" s="2">
        <f t="shared" si="0"/>
        <v>3.5675188997596344E-3</v>
      </c>
      <c r="P14">
        <f t="shared" si="1"/>
        <v>0</v>
      </c>
      <c r="Q14" s="1">
        <v>630</v>
      </c>
      <c r="R14" s="1">
        <v>100128</v>
      </c>
      <c r="S14" s="1">
        <v>2720756</v>
      </c>
      <c r="T14" s="1">
        <v>313318</v>
      </c>
      <c r="U14" s="1">
        <v>2407438</v>
      </c>
      <c r="V14" s="1">
        <v>477551.5</v>
      </c>
      <c r="W14" s="1">
        <v>2243205.60341</v>
      </c>
      <c r="X14" s="1">
        <v>21382959.713</v>
      </c>
      <c r="Y14" s="1">
        <v>256438.11499999999</v>
      </c>
      <c r="Z14" s="1">
        <v>219490.01199999999</v>
      </c>
      <c r="AA14" s="1">
        <v>176885.89600000001</v>
      </c>
      <c r="AB14" s="1">
        <v>9420.2099999999991</v>
      </c>
      <c r="AC14" s="1">
        <v>0</v>
      </c>
      <c r="AD14" s="2">
        <f t="shared" si="2"/>
        <v>0</v>
      </c>
      <c r="AE14">
        <f t="shared" si="3"/>
        <v>0</v>
      </c>
      <c r="AF14" s="1">
        <v>644</v>
      </c>
      <c r="AG14" s="1">
        <v>134563.43799999999</v>
      </c>
      <c r="AH14" s="1">
        <v>2929260.531</v>
      </c>
      <c r="AI14" s="1">
        <v>391689.18</v>
      </c>
      <c r="AJ14" s="1">
        <v>2537571.3509999998</v>
      </c>
      <c r="AK14" s="1">
        <v>507894.89600000001</v>
      </c>
      <c r="AL14" s="1">
        <v>2421365.6349999998</v>
      </c>
    </row>
    <row r="15" spans="1:38" x14ac:dyDescent="0.2">
      <c r="A15">
        <v>17</v>
      </c>
      <c r="B15" t="s">
        <v>80</v>
      </c>
      <c r="C15" t="s">
        <v>536</v>
      </c>
      <c r="D15" t="s">
        <v>982</v>
      </c>
      <c r="E15" t="s">
        <v>1139</v>
      </c>
      <c r="F15" t="s">
        <v>1300</v>
      </c>
      <c r="G15" s="7">
        <v>500</v>
      </c>
      <c r="H15" t="str">
        <f t="shared" si="4"/>
        <v>Z</v>
      </c>
      <c r="I15" s="1">
        <v>14528220</v>
      </c>
      <c r="J15" s="1">
        <v>416164</v>
      </c>
      <c r="K15" s="1">
        <v>443254</v>
      </c>
      <c r="L15" s="1">
        <v>355214</v>
      </c>
      <c r="M15" s="1">
        <v>139029</v>
      </c>
      <c r="N15" s="1">
        <v>207648</v>
      </c>
      <c r="O15" s="2">
        <f t="shared" si="0"/>
        <v>1.4292735104506953E-2</v>
      </c>
      <c r="P15">
        <f t="shared" si="1"/>
        <v>0</v>
      </c>
      <c r="Q15" s="1">
        <v>327</v>
      </c>
      <c r="R15" s="1">
        <v>81734</v>
      </c>
      <c r="S15" s="1">
        <v>6263917</v>
      </c>
      <c r="T15" s="1">
        <v>2385722</v>
      </c>
      <c r="U15" s="1">
        <v>3878195</v>
      </c>
      <c r="V15" s="1">
        <v>2082400</v>
      </c>
      <c r="W15" s="1">
        <v>4181516</v>
      </c>
      <c r="X15" s="1">
        <v>16438395</v>
      </c>
      <c r="Y15" s="1">
        <v>152686</v>
      </c>
      <c r="Z15" s="1">
        <v>189182</v>
      </c>
      <c r="AA15" s="1">
        <v>181383</v>
      </c>
      <c r="AB15" s="1">
        <v>182686</v>
      </c>
      <c r="AC15" s="1">
        <v>297554</v>
      </c>
      <c r="AD15" s="2">
        <f t="shared" si="2"/>
        <v>1.8101158902678761E-2</v>
      </c>
      <c r="AE15">
        <f t="shared" si="3"/>
        <v>0</v>
      </c>
      <c r="AF15" s="1">
        <v>255</v>
      </c>
      <c r="AG15" s="1">
        <v>104188</v>
      </c>
      <c r="AH15" s="1">
        <v>4361863</v>
      </c>
      <c r="AI15" s="1">
        <v>2816948</v>
      </c>
      <c r="AJ15" s="1">
        <v>1544915</v>
      </c>
      <c r="AK15" s="1">
        <v>825182</v>
      </c>
      <c r="AL15" s="1">
        <v>3536681</v>
      </c>
    </row>
    <row r="16" spans="1:38" x14ac:dyDescent="0.2">
      <c r="A16">
        <v>18</v>
      </c>
      <c r="B16" t="s">
        <v>81</v>
      </c>
      <c r="C16" t="s">
        <v>537</v>
      </c>
      <c r="D16" t="s">
        <v>971</v>
      </c>
      <c r="E16" t="s">
        <v>1140</v>
      </c>
      <c r="F16" t="s">
        <v>1305</v>
      </c>
      <c r="G16" s="7">
        <v>500</v>
      </c>
      <c r="H16" t="str">
        <f t="shared" si="4"/>
        <v>Z</v>
      </c>
      <c r="I16" s="1">
        <v>13028351.786979999</v>
      </c>
      <c r="J16" s="1">
        <v>284719.81529</v>
      </c>
      <c r="K16" s="1">
        <v>266616</v>
      </c>
      <c r="L16" s="1">
        <v>216617</v>
      </c>
      <c r="M16" s="1">
        <v>396511.05946000002</v>
      </c>
      <c r="N16" s="1">
        <v>10854445</v>
      </c>
      <c r="O16" s="2">
        <f t="shared" si="0"/>
        <v>0.83314030642367876</v>
      </c>
      <c r="P16">
        <f t="shared" si="1"/>
        <v>1</v>
      </c>
      <c r="Q16" s="1">
        <v>2581</v>
      </c>
      <c r="R16" s="1">
        <v>285481</v>
      </c>
      <c r="S16" s="1">
        <v>6314695.0248499997</v>
      </c>
      <c r="T16" s="1">
        <v>1787201.86894</v>
      </c>
      <c r="U16" s="1">
        <v>4527493.1559100002</v>
      </c>
      <c r="V16" s="1">
        <v>3702065.8584599998</v>
      </c>
      <c r="W16" s="1">
        <v>2612629.1663899999</v>
      </c>
      <c r="X16" s="1">
        <v>16235643.25209</v>
      </c>
      <c r="Y16" s="1">
        <v>373657.17111</v>
      </c>
      <c r="Z16" s="1">
        <v>254569.13047</v>
      </c>
      <c r="AA16" s="1">
        <v>204051.40846999999</v>
      </c>
      <c r="AB16" s="1">
        <v>390581.38903000002</v>
      </c>
      <c r="AC16" s="1">
        <v>14373763</v>
      </c>
      <c r="AD16" s="2">
        <f t="shared" si="2"/>
        <v>0.88532143610322789</v>
      </c>
      <c r="AE16">
        <f t="shared" si="3"/>
        <v>1</v>
      </c>
      <c r="AF16" s="1">
        <v>2470</v>
      </c>
      <c r="AG16" s="1">
        <v>443513.24855000002</v>
      </c>
      <c r="AH16" s="1">
        <v>6912893.2858199999</v>
      </c>
      <c r="AI16" s="1">
        <v>2600228.6920799999</v>
      </c>
      <c r="AJ16" s="1">
        <v>4312664.5937399995</v>
      </c>
      <c r="AK16" s="1">
        <v>2556692.6322699999</v>
      </c>
      <c r="AL16" s="1">
        <v>4356200.6535499999</v>
      </c>
    </row>
    <row r="17" spans="1:38" x14ac:dyDescent="0.2">
      <c r="A17">
        <v>19</v>
      </c>
      <c r="B17" t="s">
        <v>86</v>
      </c>
      <c r="C17" t="s">
        <v>542</v>
      </c>
      <c r="D17" t="s">
        <v>986</v>
      </c>
      <c r="E17" t="s">
        <v>1144</v>
      </c>
      <c r="F17" t="s">
        <v>1309</v>
      </c>
      <c r="G17" s="7">
        <v>450</v>
      </c>
      <c r="H17" t="str">
        <f t="shared" si="4"/>
        <v>K</v>
      </c>
      <c r="I17" s="1">
        <v>11676100</v>
      </c>
      <c r="J17" s="1">
        <v>1967000</v>
      </c>
      <c r="K17" s="1">
        <v>1467600</v>
      </c>
      <c r="L17" s="1">
        <v>1114600</v>
      </c>
      <c r="M17" s="1">
        <v>2229700</v>
      </c>
      <c r="N17" s="1">
        <v>0</v>
      </c>
      <c r="O17" s="2">
        <f t="shared" si="0"/>
        <v>0</v>
      </c>
      <c r="P17">
        <f t="shared" si="1"/>
        <v>0</v>
      </c>
      <c r="Q17" s="1">
        <v>7231</v>
      </c>
      <c r="R17" s="1">
        <v>840900</v>
      </c>
      <c r="S17" s="1">
        <v>32589600</v>
      </c>
      <c r="T17" s="1">
        <v>27604700</v>
      </c>
      <c r="U17" s="1">
        <v>4984900</v>
      </c>
      <c r="V17" s="1">
        <v>14464500</v>
      </c>
      <c r="W17" s="1">
        <v>18125100</v>
      </c>
      <c r="X17" s="1">
        <v>14265900</v>
      </c>
      <c r="Y17" s="1">
        <v>1766200</v>
      </c>
      <c r="Z17" s="1">
        <v>1079500</v>
      </c>
      <c r="AA17" s="1">
        <v>777300</v>
      </c>
      <c r="AB17" s="1">
        <v>1613100</v>
      </c>
      <c r="AC17" s="1">
        <v>0</v>
      </c>
      <c r="AD17" s="2">
        <f t="shared" si="2"/>
        <v>0</v>
      </c>
      <c r="AE17">
        <f t="shared" si="3"/>
        <v>0</v>
      </c>
      <c r="AF17" s="1">
        <v>8219</v>
      </c>
      <c r="AG17" s="1">
        <v>1184700</v>
      </c>
      <c r="AH17" s="1">
        <v>37464700</v>
      </c>
      <c r="AI17" s="1">
        <v>28441100</v>
      </c>
      <c r="AJ17" s="1">
        <v>9023600</v>
      </c>
      <c r="AK17" s="1">
        <v>17069300</v>
      </c>
      <c r="AL17" s="1">
        <v>20398700</v>
      </c>
    </row>
    <row r="18" spans="1:38" x14ac:dyDescent="0.2">
      <c r="A18">
        <v>20</v>
      </c>
      <c r="B18" t="s">
        <v>70</v>
      </c>
      <c r="C18" t="s">
        <v>526</v>
      </c>
      <c r="D18" t="s">
        <v>968</v>
      </c>
      <c r="E18" t="s">
        <v>1125</v>
      </c>
      <c r="F18" t="s">
        <v>1302</v>
      </c>
      <c r="G18" s="7">
        <v>140</v>
      </c>
      <c r="H18" t="str">
        <f t="shared" si="4"/>
        <v>K</v>
      </c>
      <c r="I18" s="1">
        <v>11479000</v>
      </c>
      <c r="J18" s="1">
        <v>459000</v>
      </c>
      <c r="K18" s="1">
        <v>-759000</v>
      </c>
      <c r="L18" s="1">
        <v>-1001000</v>
      </c>
      <c r="M18" s="1">
        <v>1079000</v>
      </c>
      <c r="N18" s="1">
        <v>0</v>
      </c>
      <c r="O18" s="2">
        <f t="shared" si="0"/>
        <v>0</v>
      </c>
      <c r="P18">
        <f t="shared" si="1"/>
        <v>0</v>
      </c>
      <c r="Q18" s="1">
        <v>9883</v>
      </c>
      <c r="R18" s="1">
        <v>988000</v>
      </c>
      <c r="S18" s="1">
        <v>20968000</v>
      </c>
      <c r="T18" s="1">
        <v>16276000</v>
      </c>
      <c r="U18" s="1">
        <v>4692000</v>
      </c>
      <c r="V18" s="1">
        <v>9264000</v>
      </c>
      <c r="W18" s="1">
        <v>11243000</v>
      </c>
      <c r="X18" s="1">
        <v>20887000</v>
      </c>
      <c r="Y18" s="1">
        <v>1521000</v>
      </c>
      <c r="Z18" s="1">
        <v>727000</v>
      </c>
      <c r="AA18" s="1">
        <v>339000</v>
      </c>
      <c r="AB18" s="1">
        <v>1202000</v>
      </c>
      <c r="AC18" s="1">
        <v>0</v>
      </c>
      <c r="AD18" s="2">
        <f t="shared" si="2"/>
        <v>0</v>
      </c>
      <c r="AE18">
        <f t="shared" si="3"/>
        <v>0</v>
      </c>
      <c r="AF18" s="1">
        <v>9070</v>
      </c>
      <c r="AG18" s="1">
        <v>1413000</v>
      </c>
      <c r="AH18" s="1">
        <v>31695000</v>
      </c>
      <c r="AI18" s="1">
        <v>23345000</v>
      </c>
      <c r="AJ18" s="1">
        <v>8350000</v>
      </c>
      <c r="AK18" s="1">
        <v>12258000</v>
      </c>
      <c r="AL18" s="1">
        <v>19437000</v>
      </c>
    </row>
    <row r="19" spans="1:38" x14ac:dyDescent="0.2">
      <c r="A19">
        <v>21</v>
      </c>
      <c r="B19" t="s">
        <v>96</v>
      </c>
      <c r="C19" t="s">
        <v>552</v>
      </c>
      <c r="D19" t="s">
        <v>991</v>
      </c>
      <c r="E19" t="s">
        <v>1151</v>
      </c>
      <c r="F19" t="s">
        <v>1309</v>
      </c>
      <c r="G19" s="7">
        <v>540</v>
      </c>
      <c r="H19" t="str">
        <f t="shared" si="4"/>
        <v>Z</v>
      </c>
      <c r="I19" s="1">
        <v>11406000</v>
      </c>
      <c r="J19" s="1">
        <v>415000</v>
      </c>
      <c r="K19" s="1">
        <v>118000</v>
      </c>
      <c r="L19" s="1">
        <v>82000</v>
      </c>
      <c r="M19" s="1">
        <v>2840000</v>
      </c>
      <c r="N19" s="1">
        <v>0</v>
      </c>
      <c r="O19" s="2">
        <f t="shared" si="0"/>
        <v>0</v>
      </c>
      <c r="P19">
        <f t="shared" si="1"/>
        <v>0</v>
      </c>
      <c r="Q19" s="1">
        <v>12376</v>
      </c>
      <c r="R19" s="1">
        <v>1659000</v>
      </c>
      <c r="S19" s="1">
        <v>24340000</v>
      </c>
      <c r="T19" s="1">
        <v>20847000</v>
      </c>
      <c r="U19" s="1">
        <v>3493000</v>
      </c>
      <c r="V19" s="1">
        <v>10557000</v>
      </c>
      <c r="W19" s="1">
        <v>13774000</v>
      </c>
      <c r="X19" s="1">
        <v>12732000</v>
      </c>
      <c r="Y19" s="1">
        <v>1419000</v>
      </c>
      <c r="Z19" s="1">
        <v>1128000</v>
      </c>
      <c r="AA19" s="1">
        <v>913000</v>
      </c>
      <c r="AB19" s="1">
        <v>2589000</v>
      </c>
      <c r="AC19" s="1">
        <v>0</v>
      </c>
      <c r="AD19" s="2">
        <f t="shared" si="2"/>
        <v>0</v>
      </c>
      <c r="AE19">
        <f t="shared" si="3"/>
        <v>0</v>
      </c>
      <c r="AF19" s="1">
        <v>8196</v>
      </c>
      <c r="AG19" s="1">
        <v>1668000</v>
      </c>
      <c r="AH19" s="1">
        <v>26598000</v>
      </c>
      <c r="AI19" s="1">
        <v>22807000</v>
      </c>
      <c r="AJ19" s="1">
        <v>3791000</v>
      </c>
      <c r="AK19" s="1">
        <v>13641000</v>
      </c>
      <c r="AL19" s="1">
        <v>12957000</v>
      </c>
    </row>
    <row r="20" spans="1:38" x14ac:dyDescent="0.2">
      <c r="A20">
        <v>22</v>
      </c>
      <c r="B20" t="s">
        <v>93</v>
      </c>
      <c r="C20" t="s">
        <v>549</v>
      </c>
      <c r="D20" t="s">
        <v>988</v>
      </c>
      <c r="E20" t="s">
        <v>1148</v>
      </c>
      <c r="F20" t="s">
        <v>1310</v>
      </c>
      <c r="G20" s="7">
        <v>145</v>
      </c>
      <c r="H20" t="str">
        <f t="shared" si="4"/>
        <v>K</v>
      </c>
      <c r="I20" s="1">
        <v>11307915</v>
      </c>
      <c r="J20" s="1">
        <v>612824</v>
      </c>
      <c r="K20" s="1">
        <v>558459</v>
      </c>
      <c r="L20" s="1">
        <v>407673</v>
      </c>
      <c r="M20" s="1">
        <v>811286</v>
      </c>
      <c r="N20" s="1">
        <v>5659291</v>
      </c>
      <c r="O20" s="2">
        <f t="shared" si="0"/>
        <v>0.50047166077919758</v>
      </c>
      <c r="P20">
        <f t="shared" si="1"/>
        <v>1</v>
      </c>
      <c r="Q20" s="1">
        <v>15607</v>
      </c>
      <c r="R20" s="1">
        <v>1795144</v>
      </c>
      <c r="S20" s="1">
        <v>15478691</v>
      </c>
      <c r="T20" s="1">
        <v>10705437</v>
      </c>
      <c r="U20" s="1">
        <v>4773254</v>
      </c>
      <c r="V20" s="1">
        <v>7693947</v>
      </c>
      <c r="W20" s="1">
        <v>7784744</v>
      </c>
      <c r="X20" s="1">
        <v>13042933</v>
      </c>
      <c r="Y20" s="1">
        <v>-872450</v>
      </c>
      <c r="Z20" s="1">
        <v>-1041743</v>
      </c>
      <c r="AA20" s="1">
        <v>-1077469</v>
      </c>
      <c r="AB20" s="1">
        <v>851123</v>
      </c>
      <c r="AC20" s="1">
        <v>6245290</v>
      </c>
      <c r="AD20" s="2">
        <f t="shared" si="2"/>
        <v>0.47882558317212853</v>
      </c>
      <c r="AE20">
        <f t="shared" si="3"/>
        <v>0</v>
      </c>
      <c r="AF20" s="1">
        <v>15163</v>
      </c>
      <c r="AG20" s="1">
        <v>1941878</v>
      </c>
      <c r="AH20" s="1">
        <v>24161930</v>
      </c>
      <c r="AI20" s="1">
        <v>18126429</v>
      </c>
      <c r="AJ20" s="1">
        <v>6035501</v>
      </c>
      <c r="AK20" s="1">
        <v>5290637</v>
      </c>
      <c r="AL20" s="1">
        <v>18871293</v>
      </c>
    </row>
    <row r="21" spans="1:38" x14ac:dyDescent="0.2">
      <c r="A21">
        <v>23</v>
      </c>
      <c r="B21" t="s">
        <v>104</v>
      </c>
      <c r="C21" t="s">
        <v>560</v>
      </c>
      <c r="D21" t="s">
        <v>963</v>
      </c>
      <c r="E21" t="s">
        <v>1120</v>
      </c>
      <c r="F21" t="s">
        <v>1301</v>
      </c>
      <c r="G21" s="7">
        <v>500</v>
      </c>
      <c r="H21" t="str">
        <f t="shared" si="4"/>
        <v>Z</v>
      </c>
      <c r="I21" s="1">
        <v>11048169</v>
      </c>
      <c r="J21" s="1">
        <v>8485</v>
      </c>
      <c r="K21" s="1">
        <v>-62621</v>
      </c>
      <c r="L21" s="1">
        <v>-14106</v>
      </c>
      <c r="M21" s="1">
        <v>178742</v>
      </c>
      <c r="N21" s="1">
        <v>1010</v>
      </c>
      <c r="O21" s="2">
        <f t="shared" si="0"/>
        <v>9.1417862996121798E-5</v>
      </c>
      <c r="P21">
        <f t="shared" si="1"/>
        <v>0</v>
      </c>
      <c r="Q21" s="1">
        <v>19951</v>
      </c>
      <c r="R21" s="1">
        <v>1017291</v>
      </c>
      <c r="S21" s="1">
        <v>3967255</v>
      </c>
      <c r="T21" s="1">
        <v>2660737</v>
      </c>
      <c r="U21" s="1">
        <v>1306518</v>
      </c>
      <c r="V21" s="1">
        <v>708915</v>
      </c>
      <c r="W21" s="1">
        <v>3258340</v>
      </c>
      <c r="X21" s="1">
        <v>10992882</v>
      </c>
      <c r="Y21" s="1">
        <v>280818</v>
      </c>
      <c r="Z21" s="1">
        <v>179430</v>
      </c>
      <c r="AA21" s="1">
        <v>167614</v>
      </c>
      <c r="AB21" s="1">
        <v>229415</v>
      </c>
      <c r="AC21" s="1">
        <v>1052</v>
      </c>
      <c r="AD21" s="2">
        <f t="shared" si="2"/>
        <v>9.5698289129274739E-5</v>
      </c>
      <c r="AE21">
        <f t="shared" si="3"/>
        <v>0</v>
      </c>
      <c r="AF21" s="1">
        <v>15630</v>
      </c>
      <c r="AG21" s="1">
        <v>1019386</v>
      </c>
      <c r="AH21" s="1">
        <v>4500274</v>
      </c>
      <c r="AI21" s="1">
        <v>2577743</v>
      </c>
      <c r="AJ21" s="1">
        <v>1922531</v>
      </c>
      <c r="AK21" s="1">
        <v>1077562</v>
      </c>
      <c r="AL21" s="1">
        <v>3422712</v>
      </c>
    </row>
    <row r="22" spans="1:38" x14ac:dyDescent="0.2">
      <c r="A22">
        <v>26</v>
      </c>
      <c r="B22" t="s">
        <v>79</v>
      </c>
      <c r="C22" t="s">
        <v>535</v>
      </c>
      <c r="D22" t="s">
        <v>981</v>
      </c>
      <c r="E22" t="s">
        <v>1138</v>
      </c>
      <c r="F22" t="s">
        <v>1309</v>
      </c>
      <c r="G22" s="7">
        <v>400</v>
      </c>
      <c r="H22" t="str">
        <f t="shared" si="4"/>
        <v>K</v>
      </c>
      <c r="I22" s="1">
        <v>10667400</v>
      </c>
      <c r="J22" s="1">
        <v>974600</v>
      </c>
      <c r="K22" s="1">
        <v>888100</v>
      </c>
      <c r="L22" s="1">
        <v>321900</v>
      </c>
      <c r="M22" s="1">
        <v>637000</v>
      </c>
      <c r="N22" s="1">
        <v>9483800</v>
      </c>
      <c r="O22" s="2">
        <f t="shared" si="0"/>
        <v>0.88904512814743986</v>
      </c>
      <c r="P22">
        <f t="shared" si="1"/>
        <v>1</v>
      </c>
      <c r="Q22" s="1">
        <v>26843</v>
      </c>
      <c r="R22" s="1">
        <v>4771800</v>
      </c>
      <c r="S22" s="1">
        <v>14594200</v>
      </c>
      <c r="T22" s="1">
        <v>8841900</v>
      </c>
      <c r="U22" s="1">
        <v>5752300</v>
      </c>
      <c r="V22" s="1">
        <v>7983800</v>
      </c>
      <c r="W22" s="1">
        <v>6610400</v>
      </c>
      <c r="X22" s="1">
        <v>15020100</v>
      </c>
      <c r="Y22" s="1">
        <v>1458100</v>
      </c>
      <c r="Z22" s="1">
        <v>1315400</v>
      </c>
      <c r="AA22" s="1">
        <v>519900</v>
      </c>
      <c r="AB22" s="1">
        <v>708900</v>
      </c>
      <c r="AC22" s="1">
        <v>12641000</v>
      </c>
      <c r="AD22" s="2">
        <f t="shared" si="2"/>
        <v>0.84160558185364942</v>
      </c>
      <c r="AE22">
        <f t="shared" si="3"/>
        <v>1</v>
      </c>
      <c r="AF22" s="1">
        <v>33442</v>
      </c>
      <c r="AG22" s="1">
        <v>7283200</v>
      </c>
      <c r="AH22" s="1">
        <v>20329300</v>
      </c>
      <c r="AI22" s="1">
        <v>10864900</v>
      </c>
      <c r="AJ22" s="1">
        <v>9464400</v>
      </c>
      <c r="AK22" s="1">
        <v>9646000</v>
      </c>
      <c r="AL22" s="1">
        <v>10683300</v>
      </c>
    </row>
    <row r="23" spans="1:38" x14ac:dyDescent="0.2">
      <c r="A23">
        <v>27</v>
      </c>
      <c r="B23" t="s">
        <v>90</v>
      </c>
      <c r="C23" t="s">
        <v>546</v>
      </c>
      <c r="D23" t="s">
        <v>966</v>
      </c>
      <c r="E23" t="s">
        <v>1123</v>
      </c>
      <c r="F23" t="s">
        <v>1301</v>
      </c>
      <c r="G23" s="7">
        <v>500</v>
      </c>
      <c r="H23" t="str">
        <f t="shared" si="4"/>
        <v>Z</v>
      </c>
      <c r="I23" s="1">
        <v>10623128</v>
      </c>
      <c r="J23" s="1">
        <v>407766</v>
      </c>
      <c r="K23" s="1">
        <v>356327</v>
      </c>
      <c r="L23" s="1">
        <v>356327</v>
      </c>
      <c r="M23" s="1">
        <v>358647</v>
      </c>
      <c r="N23" s="1">
        <v>14</v>
      </c>
      <c r="O23" s="2">
        <f t="shared" si="0"/>
        <v>1.3178792536435597E-6</v>
      </c>
      <c r="P23">
        <f t="shared" si="1"/>
        <v>0</v>
      </c>
      <c r="Q23" s="1">
        <v>16032</v>
      </c>
      <c r="R23" s="1">
        <v>769418</v>
      </c>
      <c r="S23" s="1">
        <v>7222677</v>
      </c>
      <c r="T23" s="1">
        <v>5604642</v>
      </c>
      <c r="U23" s="1">
        <v>1618035</v>
      </c>
      <c r="V23" s="1">
        <v>3442483</v>
      </c>
      <c r="W23" s="1">
        <v>3780194</v>
      </c>
      <c r="X23" s="1">
        <v>13905462</v>
      </c>
      <c r="Y23" s="1">
        <v>-41188</v>
      </c>
      <c r="Z23" s="1">
        <v>-233635</v>
      </c>
      <c r="AA23" s="1">
        <v>-233635</v>
      </c>
      <c r="AB23" s="1">
        <v>401764</v>
      </c>
      <c r="AC23" s="1">
        <v>0</v>
      </c>
      <c r="AD23" s="2">
        <f t="shared" si="2"/>
        <v>0</v>
      </c>
      <c r="AE23">
        <f t="shared" si="3"/>
        <v>0</v>
      </c>
      <c r="AF23" s="1">
        <v>14082</v>
      </c>
      <c r="AG23" s="1">
        <v>1257127</v>
      </c>
      <c r="AH23" s="1">
        <v>7526162</v>
      </c>
      <c r="AI23" s="1">
        <v>6131601</v>
      </c>
      <c r="AJ23" s="1">
        <v>1394561</v>
      </c>
      <c r="AK23" s="1">
        <v>3186720</v>
      </c>
      <c r="AL23" s="1">
        <v>4339442</v>
      </c>
    </row>
    <row r="24" spans="1:38" x14ac:dyDescent="0.2">
      <c r="A24">
        <v>28</v>
      </c>
      <c r="B24" t="s">
        <v>76</v>
      </c>
      <c r="C24" t="s">
        <v>532</v>
      </c>
      <c r="D24" t="s">
        <v>978</v>
      </c>
      <c r="E24" t="s">
        <v>1135</v>
      </c>
      <c r="F24" t="s">
        <v>1307</v>
      </c>
      <c r="G24" s="7">
        <v>400</v>
      </c>
      <c r="H24" t="str">
        <f t="shared" si="4"/>
        <v>K</v>
      </c>
      <c r="I24" s="1">
        <v>10232492</v>
      </c>
      <c r="J24" s="1">
        <v>155181</v>
      </c>
      <c r="K24" s="1">
        <v>106712</v>
      </c>
      <c r="L24" s="1">
        <v>78338</v>
      </c>
      <c r="M24" s="1">
        <v>177816</v>
      </c>
      <c r="N24" s="1">
        <v>1125574.1200000001</v>
      </c>
      <c r="O24" s="2">
        <f t="shared" si="0"/>
        <v>0.11000000000000001</v>
      </c>
      <c r="P24">
        <f t="shared" si="1"/>
        <v>0</v>
      </c>
      <c r="Q24" s="1">
        <v>10246</v>
      </c>
      <c r="R24" s="1">
        <v>729499</v>
      </c>
      <c r="S24" s="1">
        <v>4868987</v>
      </c>
      <c r="T24" s="1">
        <v>2061901</v>
      </c>
      <c r="U24" s="1">
        <v>2807086</v>
      </c>
      <c r="V24" s="1">
        <v>498990</v>
      </c>
      <c r="W24" s="1">
        <v>4369997</v>
      </c>
      <c r="X24" s="1">
        <v>18408738</v>
      </c>
      <c r="Y24" s="1">
        <v>365594</v>
      </c>
      <c r="Z24" s="1">
        <v>62710</v>
      </c>
      <c r="AA24" s="1">
        <v>40271</v>
      </c>
      <c r="AB24" s="1">
        <v>22439</v>
      </c>
      <c r="AC24" s="1">
        <v>2749765</v>
      </c>
      <c r="AD24" s="2">
        <f t="shared" si="2"/>
        <v>0.14937281414945447</v>
      </c>
      <c r="AE24">
        <f t="shared" si="3"/>
        <v>0</v>
      </c>
      <c r="AF24" s="1">
        <v>12149</v>
      </c>
      <c r="AG24" s="1">
        <v>1404556</v>
      </c>
      <c r="AH24" s="1">
        <v>6742202</v>
      </c>
      <c r="AI24" s="1">
        <v>2731684</v>
      </c>
      <c r="AJ24" s="1">
        <v>4010518</v>
      </c>
      <c r="AK24" s="1">
        <v>525075</v>
      </c>
      <c r="AL24" s="1">
        <v>6227448</v>
      </c>
    </row>
    <row r="25" spans="1:38" x14ac:dyDescent="0.2">
      <c r="A25">
        <v>29</v>
      </c>
      <c r="B25" t="s">
        <v>69</v>
      </c>
      <c r="C25" t="s">
        <v>525</v>
      </c>
      <c r="D25" t="s">
        <v>965</v>
      </c>
      <c r="E25" t="s">
        <v>1122</v>
      </c>
      <c r="F25" t="s">
        <v>1301</v>
      </c>
      <c r="G25" s="7">
        <v>500</v>
      </c>
      <c r="H25" t="str">
        <f t="shared" si="4"/>
        <v>Z</v>
      </c>
      <c r="I25" s="1">
        <v>8577348</v>
      </c>
      <c r="J25" s="1">
        <v>634952</v>
      </c>
      <c r="K25" s="1">
        <v>281644</v>
      </c>
      <c r="L25" s="1">
        <v>191864</v>
      </c>
      <c r="M25" s="1">
        <v>711401</v>
      </c>
      <c r="N25" s="1">
        <v>0</v>
      </c>
      <c r="O25" s="2">
        <f t="shared" si="0"/>
        <v>0</v>
      </c>
      <c r="P25">
        <f t="shared" si="1"/>
        <v>0</v>
      </c>
      <c r="Q25" s="1">
        <v>1596</v>
      </c>
      <c r="R25" s="1">
        <v>180556</v>
      </c>
      <c r="S25" s="1">
        <v>10148221</v>
      </c>
      <c r="T25" s="1">
        <v>8750340</v>
      </c>
      <c r="U25" s="1">
        <v>1397881</v>
      </c>
      <c r="V25" s="1">
        <v>956874</v>
      </c>
      <c r="W25" s="1">
        <v>9103735</v>
      </c>
      <c r="X25" s="1">
        <v>23797000</v>
      </c>
      <c r="Y25" s="1">
        <v>1659000</v>
      </c>
      <c r="Z25" s="1">
        <v>804000</v>
      </c>
      <c r="AA25" s="1">
        <v>593000</v>
      </c>
      <c r="AB25" s="1">
        <v>1704000</v>
      </c>
      <c r="AC25" s="1">
        <v>0</v>
      </c>
      <c r="AD25" s="2">
        <f t="shared" si="2"/>
        <v>0</v>
      </c>
      <c r="AE25">
        <f t="shared" si="3"/>
        <v>0</v>
      </c>
      <c r="AF25" s="1">
        <v>3881</v>
      </c>
      <c r="AG25" s="1">
        <v>626905</v>
      </c>
      <c r="AH25" s="1">
        <v>17569000</v>
      </c>
      <c r="AI25" s="1">
        <v>13188000</v>
      </c>
      <c r="AJ25" s="1">
        <v>4381000</v>
      </c>
      <c r="AK25" s="1">
        <v>1389000</v>
      </c>
      <c r="AL25" s="1">
        <v>16180000</v>
      </c>
    </row>
    <row r="26" spans="1:38" x14ac:dyDescent="0.2">
      <c r="A26">
        <v>30</v>
      </c>
      <c r="B26" t="s">
        <v>57</v>
      </c>
      <c r="C26" t="s">
        <v>513</v>
      </c>
      <c r="D26" t="s">
        <v>964</v>
      </c>
      <c r="E26" t="s">
        <v>1121</v>
      </c>
      <c r="F26" t="s">
        <v>1220</v>
      </c>
      <c r="G26" s="7">
        <v>100</v>
      </c>
      <c r="H26" t="str">
        <f t="shared" si="4"/>
        <v>K</v>
      </c>
      <c r="I26" s="1">
        <v>9892836.1903399993</v>
      </c>
      <c r="J26" s="1">
        <v>312884.32701000001</v>
      </c>
      <c r="K26" s="1">
        <v>334228.10605</v>
      </c>
      <c r="L26" s="1">
        <v>270948.34905000002</v>
      </c>
      <c r="M26" s="1">
        <v>33315.16977</v>
      </c>
      <c r="N26" s="1">
        <v>0</v>
      </c>
      <c r="O26" s="2">
        <f t="shared" si="0"/>
        <v>0</v>
      </c>
      <c r="P26">
        <f t="shared" si="1"/>
        <v>0</v>
      </c>
      <c r="Q26" s="1">
        <v>1834</v>
      </c>
      <c r="R26" s="1">
        <v>345323</v>
      </c>
      <c r="S26" s="1">
        <v>1824149.60363</v>
      </c>
      <c r="T26" s="1">
        <v>459956.92447000003</v>
      </c>
      <c r="U26" s="1">
        <v>1364192.6791600001</v>
      </c>
      <c r="V26" s="1">
        <v>1081596.8602400001</v>
      </c>
      <c r="W26" s="1">
        <v>666169.63349000004</v>
      </c>
      <c r="X26" s="1">
        <v>69019679</v>
      </c>
      <c r="Y26" s="1">
        <v>589785</v>
      </c>
      <c r="Z26" s="1">
        <v>601848</v>
      </c>
      <c r="AA26" s="1">
        <v>478527</v>
      </c>
      <c r="AB26" s="1">
        <v>222006</v>
      </c>
      <c r="AC26" s="1">
        <v>0</v>
      </c>
      <c r="AD26" s="2">
        <f t="shared" si="2"/>
        <v>0</v>
      </c>
      <c r="AE26">
        <f t="shared" si="3"/>
        <v>0</v>
      </c>
      <c r="AF26" s="1">
        <v>6721</v>
      </c>
      <c r="AG26" s="1">
        <v>915791</v>
      </c>
      <c r="AH26" s="1">
        <v>3315804</v>
      </c>
      <c r="AI26" s="1">
        <v>1072974</v>
      </c>
      <c r="AJ26" s="1">
        <v>2242830</v>
      </c>
      <c r="AK26" s="1">
        <v>1871099</v>
      </c>
      <c r="AL26" s="1">
        <v>1444706</v>
      </c>
    </row>
    <row r="27" spans="1:38" x14ac:dyDescent="0.2">
      <c r="A27">
        <v>31</v>
      </c>
      <c r="B27" t="s">
        <v>74</v>
      </c>
      <c r="C27" t="s">
        <v>530</v>
      </c>
      <c r="D27" t="s">
        <v>976</v>
      </c>
      <c r="E27" t="s">
        <v>1133</v>
      </c>
      <c r="F27" t="s">
        <v>1306</v>
      </c>
      <c r="G27" s="7">
        <v>400</v>
      </c>
      <c r="H27" t="str">
        <f t="shared" si="4"/>
        <v>K</v>
      </c>
      <c r="I27" s="1">
        <v>9221656</v>
      </c>
      <c r="J27" s="1">
        <v>879246</v>
      </c>
      <c r="K27" s="1">
        <v>737116</v>
      </c>
      <c r="L27" s="1">
        <v>486005</v>
      </c>
      <c r="M27" s="1">
        <v>1017717</v>
      </c>
      <c r="N27" s="1">
        <v>4802973</v>
      </c>
      <c r="O27" s="2">
        <f t="shared" si="0"/>
        <v>0.520836279297341</v>
      </c>
      <c r="P27">
        <f t="shared" si="1"/>
        <v>1</v>
      </c>
      <c r="Q27" s="1">
        <v>17121</v>
      </c>
      <c r="R27" s="1">
        <v>893035</v>
      </c>
      <c r="S27" s="1">
        <v>9605862</v>
      </c>
      <c r="T27" s="1">
        <v>5870719</v>
      </c>
      <c r="U27" s="1">
        <v>3735143</v>
      </c>
      <c r="V27" s="1">
        <v>3247491</v>
      </c>
      <c r="W27" s="1">
        <v>6358386</v>
      </c>
      <c r="X27" s="1">
        <v>20194000</v>
      </c>
      <c r="Y27" s="1">
        <v>2415000</v>
      </c>
      <c r="Z27" s="1">
        <v>2251000</v>
      </c>
      <c r="AA27" s="1">
        <v>1747000</v>
      </c>
      <c r="AB27" s="1">
        <v>1689000</v>
      </c>
      <c r="AC27" s="1">
        <v>10677000</v>
      </c>
      <c r="AD27" s="2">
        <f t="shared" si="2"/>
        <v>0.52872140239675147</v>
      </c>
      <c r="AE27">
        <f t="shared" si="3"/>
        <v>1</v>
      </c>
      <c r="AF27" s="1">
        <v>22821</v>
      </c>
      <c r="AG27" s="1">
        <v>1967000</v>
      </c>
      <c r="AH27" s="1">
        <v>17501000</v>
      </c>
      <c r="AI27" s="1">
        <v>9872000</v>
      </c>
      <c r="AJ27" s="1">
        <v>7629000</v>
      </c>
      <c r="AK27" s="1">
        <v>5302000</v>
      </c>
      <c r="AL27" s="1">
        <v>12199000</v>
      </c>
    </row>
    <row r="28" spans="1:38" x14ac:dyDescent="0.2">
      <c r="A28">
        <v>32</v>
      </c>
      <c r="B28" t="s">
        <v>98</v>
      </c>
      <c r="C28" t="s">
        <v>554</v>
      </c>
      <c r="D28" t="s">
        <v>993</v>
      </c>
      <c r="E28" t="s">
        <v>1153</v>
      </c>
      <c r="F28" t="s">
        <v>1306</v>
      </c>
      <c r="G28" s="7">
        <v>500</v>
      </c>
      <c r="H28" t="str">
        <f t="shared" si="4"/>
        <v>Z</v>
      </c>
      <c r="I28" s="1">
        <v>9215048.4409999996</v>
      </c>
      <c r="J28" s="1">
        <v>283824.77399999998</v>
      </c>
      <c r="K28" s="1">
        <v>276256.033</v>
      </c>
      <c r="L28" s="1">
        <v>224614.61199999999</v>
      </c>
      <c r="M28" s="1">
        <v>86669</v>
      </c>
      <c r="N28" s="1">
        <v>8028652</v>
      </c>
      <c r="O28" s="2">
        <f t="shared" si="0"/>
        <v>0.87125445421193526</v>
      </c>
      <c r="P28">
        <f t="shared" si="1"/>
        <v>1</v>
      </c>
      <c r="Q28" s="1">
        <v>1624</v>
      </c>
      <c r="R28" s="1">
        <v>102987.7</v>
      </c>
      <c r="S28" s="1">
        <v>4087588.2439999999</v>
      </c>
      <c r="T28" s="1">
        <v>390910.81800000003</v>
      </c>
      <c r="U28" s="1">
        <v>3696677.426</v>
      </c>
      <c r="V28" s="1">
        <v>1634837.013</v>
      </c>
      <c r="W28" s="1">
        <v>2452751.2310000001</v>
      </c>
      <c r="X28" s="1">
        <v>12530830.922</v>
      </c>
      <c r="Y28" s="1">
        <v>391283.76</v>
      </c>
      <c r="Z28" s="1">
        <v>396667.72700000001</v>
      </c>
      <c r="AA28" s="1">
        <v>308868.02600000001</v>
      </c>
      <c r="AB28" s="1">
        <v>113633</v>
      </c>
      <c r="AC28" s="1">
        <v>7304290</v>
      </c>
      <c r="AD28" s="2">
        <f t="shared" si="2"/>
        <v>0.58290547893165479</v>
      </c>
      <c r="AE28">
        <f t="shared" si="3"/>
        <v>1</v>
      </c>
      <c r="AF28" s="1">
        <v>1603</v>
      </c>
      <c r="AG28" s="1">
        <v>166305</v>
      </c>
      <c r="AH28" s="1">
        <v>4182762.0950000002</v>
      </c>
      <c r="AI28" s="1">
        <v>520800.85</v>
      </c>
      <c r="AJ28" s="1">
        <v>3661961.2450000001</v>
      </c>
      <c r="AK28" s="1">
        <v>2247918.6749999998</v>
      </c>
      <c r="AL28" s="1">
        <v>1934843.4180000001</v>
      </c>
    </row>
    <row r="29" spans="1:38" x14ac:dyDescent="0.2">
      <c r="A29">
        <v>33</v>
      </c>
      <c r="B29" t="s">
        <v>65</v>
      </c>
      <c r="C29" t="s">
        <v>521</v>
      </c>
      <c r="D29" t="s">
        <v>970</v>
      </c>
      <c r="E29" t="s">
        <v>1127</v>
      </c>
      <c r="F29" t="s">
        <v>1302</v>
      </c>
      <c r="G29" s="7">
        <v>100</v>
      </c>
      <c r="H29" t="str">
        <f t="shared" si="4"/>
        <v>K</v>
      </c>
      <c r="I29" s="1">
        <v>9105506.7376099993</v>
      </c>
      <c r="J29" s="1">
        <v>874952.32599000004</v>
      </c>
      <c r="K29" s="1">
        <v>901608</v>
      </c>
      <c r="L29" s="1">
        <v>729360.86137000006</v>
      </c>
      <c r="M29" s="1">
        <v>637550.42882000003</v>
      </c>
      <c r="N29" s="1">
        <v>326637.66434999998</v>
      </c>
      <c r="O29" s="2">
        <f t="shared" si="0"/>
        <v>3.5872541063621831E-2</v>
      </c>
      <c r="P29">
        <f t="shared" si="1"/>
        <v>0</v>
      </c>
      <c r="Q29" s="1">
        <v>2439</v>
      </c>
      <c r="R29" s="1">
        <v>435833.3</v>
      </c>
      <c r="S29" s="1">
        <v>20640056</v>
      </c>
      <c r="T29" s="1">
        <v>17519567</v>
      </c>
      <c r="U29" s="1">
        <v>3120489</v>
      </c>
      <c r="V29" s="1">
        <v>15133536.66838</v>
      </c>
      <c r="W29" s="1">
        <v>5506519.0916999998</v>
      </c>
      <c r="X29" s="1">
        <v>26406192.204360001</v>
      </c>
      <c r="Y29" s="1">
        <v>2394781.91151</v>
      </c>
      <c r="Z29" s="1">
        <v>2664238.9212199999</v>
      </c>
      <c r="AA29" s="1">
        <v>2168889.1697300002</v>
      </c>
      <c r="AB29" s="1">
        <v>735057.36048999999</v>
      </c>
      <c r="AC29" s="1">
        <v>3185350</v>
      </c>
      <c r="AD29" s="2">
        <f t="shared" si="2"/>
        <v>0.12062890307501654</v>
      </c>
      <c r="AE29">
        <f t="shared" si="3"/>
        <v>0</v>
      </c>
      <c r="AF29" s="1">
        <v>2748.5</v>
      </c>
      <c r="AG29" s="1">
        <v>476865.65784</v>
      </c>
      <c r="AH29" s="1">
        <v>30479784.66062</v>
      </c>
      <c r="AI29" s="1">
        <v>20301468.732999999</v>
      </c>
      <c r="AJ29" s="1">
        <v>10178315.927619999</v>
      </c>
      <c r="AK29" s="1">
        <v>19616169.601050001</v>
      </c>
      <c r="AL29" s="1">
        <v>10863615.05957</v>
      </c>
    </row>
    <row r="30" spans="1:38" x14ac:dyDescent="0.2">
      <c r="A30">
        <v>34</v>
      </c>
      <c r="B30" t="s">
        <v>101</v>
      </c>
      <c r="C30" t="s">
        <v>557</v>
      </c>
      <c r="D30" t="s">
        <v>965</v>
      </c>
      <c r="E30" t="s">
        <v>1122</v>
      </c>
      <c r="F30" t="s">
        <v>1311</v>
      </c>
      <c r="G30" s="7">
        <v>100</v>
      </c>
      <c r="H30" t="str">
        <f t="shared" si="4"/>
        <v>K</v>
      </c>
      <c r="I30" s="1">
        <v>9079181.6999999993</v>
      </c>
      <c r="J30" s="1">
        <v>473724</v>
      </c>
      <c r="K30" s="1">
        <v>700185</v>
      </c>
      <c r="L30" s="1">
        <v>553595</v>
      </c>
      <c r="M30" s="1">
        <v>731092</v>
      </c>
      <c r="N30" s="1">
        <v>1368342</v>
      </c>
      <c r="O30" s="2">
        <f t="shared" si="0"/>
        <v>0.15071204049149056</v>
      </c>
      <c r="P30">
        <f t="shared" si="1"/>
        <v>0</v>
      </c>
      <c r="Q30" s="1">
        <v>34076</v>
      </c>
      <c r="R30" s="1">
        <v>2776453</v>
      </c>
      <c r="S30" s="1">
        <v>27194327</v>
      </c>
      <c r="T30" s="1">
        <v>22696139</v>
      </c>
      <c r="U30" s="1">
        <v>4498188</v>
      </c>
      <c r="V30" s="1">
        <v>11359426</v>
      </c>
      <c r="W30" s="1">
        <v>6628472</v>
      </c>
      <c r="X30" s="1">
        <v>11978732</v>
      </c>
      <c r="Y30" s="1">
        <v>679707</v>
      </c>
      <c r="Z30" s="1">
        <v>334406</v>
      </c>
      <c r="AA30" s="1">
        <v>201567</v>
      </c>
      <c r="AB30" s="1">
        <v>904453</v>
      </c>
      <c r="AC30" s="1">
        <v>2056104</v>
      </c>
      <c r="AD30" s="2">
        <f t="shared" si="2"/>
        <v>0.17164621430715704</v>
      </c>
      <c r="AE30">
        <f t="shared" si="3"/>
        <v>0</v>
      </c>
      <c r="AF30" s="1">
        <v>30652</v>
      </c>
      <c r="AG30" s="1">
        <v>3545313</v>
      </c>
      <c r="AH30" s="1">
        <v>31500568</v>
      </c>
      <c r="AI30" s="1">
        <v>27332722</v>
      </c>
      <c r="AJ30" s="1">
        <v>4167846</v>
      </c>
      <c r="AK30" s="1">
        <v>12589918</v>
      </c>
      <c r="AL30" s="1">
        <v>16649257</v>
      </c>
    </row>
    <row r="31" spans="1:38" x14ac:dyDescent="0.2">
      <c r="A31">
        <v>35</v>
      </c>
      <c r="B31" t="s">
        <v>113</v>
      </c>
      <c r="C31" t="s">
        <v>569</v>
      </c>
      <c r="D31" t="s">
        <v>985</v>
      </c>
      <c r="E31" t="s">
        <v>1143</v>
      </c>
      <c r="F31" t="s">
        <v>1303</v>
      </c>
      <c r="G31" s="7">
        <v>100</v>
      </c>
      <c r="H31" t="str">
        <f t="shared" si="4"/>
        <v>K</v>
      </c>
      <c r="I31" s="1">
        <v>9019116</v>
      </c>
      <c r="J31" s="1">
        <v>-321127</v>
      </c>
      <c r="K31" s="1">
        <v>-479456</v>
      </c>
      <c r="L31" s="1">
        <v>-424817</v>
      </c>
      <c r="M31" s="1">
        <v>2192624</v>
      </c>
      <c r="N31" s="1">
        <v>2344970.16</v>
      </c>
      <c r="O31" s="2">
        <f t="shared" si="0"/>
        <v>0.26</v>
      </c>
      <c r="P31">
        <f t="shared" si="1"/>
        <v>0</v>
      </c>
      <c r="Q31" s="1">
        <v>4333</v>
      </c>
      <c r="R31" s="1">
        <v>4258731</v>
      </c>
      <c r="S31" s="1">
        <v>12455005</v>
      </c>
      <c r="T31" s="1">
        <v>10220638</v>
      </c>
      <c r="U31" s="1">
        <v>2234367</v>
      </c>
      <c r="V31" s="1">
        <v>3720562</v>
      </c>
      <c r="W31" s="1">
        <v>8734443</v>
      </c>
      <c r="X31" s="1">
        <v>9847862</v>
      </c>
      <c r="Y31" s="1">
        <v>-3351719</v>
      </c>
      <c r="Z31" s="1">
        <v>-3624323</v>
      </c>
      <c r="AA31" s="1">
        <v>-3617936</v>
      </c>
      <c r="AB31" s="1">
        <v>2587253</v>
      </c>
      <c r="AC31" s="1">
        <v>2905119.29</v>
      </c>
      <c r="AD31" s="2">
        <f t="shared" si="2"/>
        <v>0.29499999999999998</v>
      </c>
      <c r="AE31">
        <f t="shared" si="3"/>
        <v>0</v>
      </c>
      <c r="AF31" s="1">
        <v>36197</v>
      </c>
      <c r="AG31" s="1">
        <v>6661582</v>
      </c>
      <c r="AH31" s="1">
        <v>12259637</v>
      </c>
      <c r="AI31" s="1">
        <v>9416585</v>
      </c>
      <c r="AJ31" s="1">
        <v>2843052</v>
      </c>
      <c r="AK31" s="1">
        <v>2643785</v>
      </c>
      <c r="AL31" s="1">
        <v>9615852</v>
      </c>
    </row>
    <row r="32" spans="1:38" x14ac:dyDescent="0.2">
      <c r="A32">
        <v>36</v>
      </c>
      <c r="B32" t="s">
        <v>84</v>
      </c>
      <c r="C32" t="s">
        <v>540</v>
      </c>
      <c r="D32" t="s">
        <v>969</v>
      </c>
      <c r="E32" t="s">
        <v>1126</v>
      </c>
      <c r="F32" t="s">
        <v>1304</v>
      </c>
      <c r="G32" s="7">
        <v>450</v>
      </c>
      <c r="H32" t="str">
        <f t="shared" si="4"/>
        <v>K</v>
      </c>
      <c r="I32" s="1">
        <v>10206877</v>
      </c>
      <c r="J32" s="1">
        <v>95542</v>
      </c>
      <c r="K32" s="1">
        <v>85702</v>
      </c>
      <c r="L32" s="1">
        <v>66383</v>
      </c>
      <c r="M32" s="1">
        <v>15786</v>
      </c>
      <c r="N32" s="1">
        <v>5140676</v>
      </c>
      <c r="O32" s="2">
        <f t="shared" si="0"/>
        <v>0.50364827556950087</v>
      </c>
      <c r="P32">
        <f t="shared" si="1"/>
        <v>1</v>
      </c>
      <c r="Q32" s="1">
        <v>1233</v>
      </c>
      <c r="R32" s="1">
        <v>107206</v>
      </c>
      <c r="S32" s="1">
        <v>2614496</v>
      </c>
      <c r="T32" s="1">
        <v>277473</v>
      </c>
      <c r="U32" s="1">
        <v>2337023</v>
      </c>
      <c r="V32" s="1">
        <v>850251</v>
      </c>
      <c r="W32" s="1">
        <v>1764245</v>
      </c>
      <c r="X32" s="1">
        <v>14658180</v>
      </c>
      <c r="Y32" s="1">
        <v>285735</v>
      </c>
      <c r="Z32" s="1">
        <v>221009</v>
      </c>
      <c r="AA32" s="1">
        <v>174686</v>
      </c>
      <c r="AB32" s="1">
        <v>22903</v>
      </c>
      <c r="AC32" s="1">
        <v>6611319</v>
      </c>
      <c r="AD32" s="2">
        <f t="shared" si="2"/>
        <v>0.45103273394104859</v>
      </c>
      <c r="AE32">
        <f t="shared" si="3"/>
        <v>0</v>
      </c>
      <c r="AF32" s="1">
        <v>1196</v>
      </c>
      <c r="AG32" s="1">
        <v>167546</v>
      </c>
      <c r="AH32" s="1">
        <v>3875790</v>
      </c>
      <c r="AI32" s="1">
        <v>357592</v>
      </c>
      <c r="AJ32" s="1">
        <v>3518198</v>
      </c>
      <c r="AK32" s="1">
        <v>1392181</v>
      </c>
      <c r="AL32" s="1">
        <v>2483609</v>
      </c>
    </row>
    <row r="33" spans="1:38" x14ac:dyDescent="0.2">
      <c r="A33">
        <v>37</v>
      </c>
      <c r="B33" t="s">
        <v>83</v>
      </c>
      <c r="C33" t="s">
        <v>539</v>
      </c>
      <c r="D33" t="s">
        <v>983</v>
      </c>
      <c r="E33" t="s">
        <v>1141</v>
      </c>
      <c r="F33" t="s">
        <v>1301</v>
      </c>
      <c r="G33" s="7">
        <v>500</v>
      </c>
      <c r="H33" t="str">
        <f t="shared" si="4"/>
        <v>Z</v>
      </c>
      <c r="I33" s="1">
        <v>8785311.1934900004</v>
      </c>
      <c r="J33" s="1">
        <v>1178500.51514</v>
      </c>
      <c r="K33" s="1">
        <v>1186765.3580199999</v>
      </c>
      <c r="L33" s="1">
        <v>953480.56796999997</v>
      </c>
      <c r="M33" s="1">
        <v>150013.53469999999</v>
      </c>
      <c r="N33" s="1">
        <v>1004</v>
      </c>
      <c r="O33" s="2">
        <f t="shared" si="0"/>
        <v>1.1428166605458137E-4</v>
      </c>
      <c r="P33">
        <f t="shared" si="1"/>
        <v>0</v>
      </c>
      <c r="Q33" s="1">
        <v>15460</v>
      </c>
      <c r="R33" s="1">
        <v>1026830.7094000001</v>
      </c>
      <c r="S33" s="1">
        <v>2732011.7406500001</v>
      </c>
      <c r="T33" s="1">
        <v>1140908.75758</v>
      </c>
      <c r="U33" s="1">
        <v>1591102.9830700001</v>
      </c>
      <c r="V33" s="1">
        <v>1694296.62803</v>
      </c>
      <c r="W33" s="1">
        <v>1037715.11262</v>
      </c>
      <c r="X33" s="1">
        <v>15020865</v>
      </c>
      <c r="Y33" s="1">
        <v>1800799.89417</v>
      </c>
      <c r="Z33" s="1">
        <v>1833378.4018000001</v>
      </c>
      <c r="AA33" s="1">
        <v>1468497.08452</v>
      </c>
      <c r="AB33" s="1">
        <v>215263.49892000001</v>
      </c>
      <c r="AC33" s="1">
        <v>388</v>
      </c>
      <c r="AD33" s="2">
        <f t="shared" si="2"/>
        <v>2.5830736112733853E-5</v>
      </c>
      <c r="AE33">
        <f t="shared" si="3"/>
        <v>0</v>
      </c>
      <c r="AF33" s="1">
        <v>15148</v>
      </c>
      <c r="AG33" s="1">
        <v>1600664.3700300001</v>
      </c>
      <c r="AH33" s="1">
        <v>4222587.2712000003</v>
      </c>
      <c r="AI33" s="1">
        <v>1673868.00661</v>
      </c>
      <c r="AJ33" s="1">
        <v>2548719.2645899998</v>
      </c>
      <c r="AK33" s="1">
        <v>2470533.1434200001</v>
      </c>
      <c r="AL33" s="1">
        <v>1752054.12778</v>
      </c>
    </row>
    <row r="34" spans="1:38" x14ac:dyDescent="0.2">
      <c r="A34">
        <v>38</v>
      </c>
      <c r="B34" t="s">
        <v>75</v>
      </c>
      <c r="C34" t="s">
        <v>531</v>
      </c>
      <c r="D34" t="s">
        <v>977</v>
      </c>
      <c r="E34" t="s">
        <v>1134</v>
      </c>
      <c r="F34" t="s">
        <v>1305</v>
      </c>
      <c r="G34" s="7">
        <v>400</v>
      </c>
      <c r="H34" t="str">
        <f t="shared" si="4"/>
        <v>K</v>
      </c>
      <c r="I34" s="1">
        <v>8764261</v>
      </c>
      <c r="J34" s="1">
        <v>331943</v>
      </c>
      <c r="K34" s="1">
        <v>279529</v>
      </c>
      <c r="L34" s="1">
        <v>227096</v>
      </c>
      <c r="M34" s="1">
        <v>130200</v>
      </c>
      <c r="N34" s="1">
        <v>4110508</v>
      </c>
      <c r="O34" s="2">
        <f t="shared" si="0"/>
        <v>0.4690079403157893</v>
      </c>
      <c r="P34">
        <f t="shared" si="1"/>
        <v>0</v>
      </c>
      <c r="Q34" s="1">
        <v>3337.5</v>
      </c>
      <c r="R34" s="1">
        <v>330980</v>
      </c>
      <c r="S34" s="1">
        <v>4423893</v>
      </c>
      <c r="T34" s="1">
        <v>1198866</v>
      </c>
      <c r="U34" s="1">
        <v>3225027</v>
      </c>
      <c r="V34" s="1">
        <v>2046687</v>
      </c>
      <c r="W34" s="1">
        <v>2377206</v>
      </c>
      <c r="X34" s="1">
        <v>19473078</v>
      </c>
      <c r="Y34" s="1">
        <v>1058722</v>
      </c>
      <c r="Z34" s="1">
        <v>894096</v>
      </c>
      <c r="AA34" s="1">
        <v>721480</v>
      </c>
      <c r="AB34" s="1">
        <v>206825</v>
      </c>
      <c r="AC34" s="1">
        <v>11291323</v>
      </c>
      <c r="AD34" s="2">
        <f t="shared" si="2"/>
        <v>0.57984274494253041</v>
      </c>
      <c r="AE34">
        <f t="shared" si="3"/>
        <v>1</v>
      </c>
      <c r="AF34" s="1">
        <v>5261</v>
      </c>
      <c r="AG34" s="1">
        <v>694262</v>
      </c>
      <c r="AH34" s="1">
        <v>10765893</v>
      </c>
      <c r="AI34" s="1">
        <v>2219577</v>
      </c>
      <c r="AJ34" s="1">
        <v>8546316</v>
      </c>
      <c r="AK34" s="1">
        <v>5111652</v>
      </c>
      <c r="AL34" s="1">
        <v>5654241</v>
      </c>
    </row>
    <row r="35" spans="1:38" x14ac:dyDescent="0.2">
      <c r="A35">
        <v>39</v>
      </c>
      <c r="B35" t="s">
        <v>85</v>
      </c>
      <c r="C35" t="s">
        <v>541</v>
      </c>
      <c r="D35" t="s">
        <v>985</v>
      </c>
      <c r="E35" t="s">
        <v>1143</v>
      </c>
      <c r="F35" t="s">
        <v>1303</v>
      </c>
      <c r="G35" s="7">
        <v>124</v>
      </c>
      <c r="H35" t="str">
        <f t="shared" si="4"/>
        <v>K</v>
      </c>
      <c r="I35" s="1">
        <v>11268800</v>
      </c>
      <c r="J35" s="1">
        <v>528300</v>
      </c>
      <c r="K35" s="1">
        <v>432300</v>
      </c>
      <c r="L35" s="1">
        <v>330400</v>
      </c>
      <c r="M35" s="1">
        <v>878600</v>
      </c>
      <c r="N35" s="1">
        <v>4087900</v>
      </c>
      <c r="O35" s="2">
        <f t="shared" si="0"/>
        <v>0.3627626721567514</v>
      </c>
      <c r="P35">
        <f t="shared" si="1"/>
        <v>0</v>
      </c>
      <c r="Q35" s="1">
        <v>22038</v>
      </c>
      <c r="R35" s="1">
        <v>3726900</v>
      </c>
      <c r="S35" s="1">
        <v>13997300</v>
      </c>
      <c r="T35" s="1">
        <v>11243600</v>
      </c>
      <c r="U35" s="1">
        <v>2753700</v>
      </c>
      <c r="V35" s="1">
        <v>7876800</v>
      </c>
      <c r="W35" s="1">
        <v>6120500</v>
      </c>
      <c r="X35" s="1">
        <v>14391200</v>
      </c>
      <c r="Y35" s="1">
        <v>-7586300</v>
      </c>
      <c r="Z35" s="1">
        <v>-7798400</v>
      </c>
      <c r="AA35" s="1">
        <v>-6331400</v>
      </c>
      <c r="AB35" s="1">
        <v>1527300</v>
      </c>
      <c r="AC35" s="1">
        <v>5862300</v>
      </c>
      <c r="AD35" s="2">
        <f t="shared" si="2"/>
        <v>0.40735310467507924</v>
      </c>
      <c r="AE35">
        <f t="shared" si="3"/>
        <v>0</v>
      </c>
      <c r="AF35" s="1">
        <v>21499</v>
      </c>
      <c r="AG35" s="1">
        <v>5778900</v>
      </c>
      <c r="AH35" s="1">
        <v>17921100</v>
      </c>
      <c r="AI35" s="1">
        <v>14132900</v>
      </c>
      <c r="AJ35" s="1">
        <v>3788200</v>
      </c>
      <c r="AK35" s="1">
        <v>8998800</v>
      </c>
      <c r="AL35" s="1">
        <v>8922300</v>
      </c>
    </row>
    <row r="36" spans="1:38" x14ac:dyDescent="0.2">
      <c r="A36">
        <v>40</v>
      </c>
      <c r="B36" t="s">
        <v>89</v>
      </c>
      <c r="C36" t="s">
        <v>545</v>
      </c>
      <c r="D36" t="s">
        <v>987</v>
      </c>
      <c r="E36" t="s">
        <v>1147</v>
      </c>
      <c r="F36" t="s">
        <v>1306</v>
      </c>
      <c r="G36" s="7">
        <v>500</v>
      </c>
      <c r="H36" t="str">
        <f t="shared" si="4"/>
        <v>Z</v>
      </c>
      <c r="I36" s="1">
        <v>8493687</v>
      </c>
      <c r="J36" s="1">
        <v>1040882</v>
      </c>
      <c r="K36" s="1">
        <v>932965</v>
      </c>
      <c r="L36" s="1">
        <v>796761</v>
      </c>
      <c r="M36" s="1">
        <v>339117</v>
      </c>
      <c r="N36" s="1">
        <v>7257932</v>
      </c>
      <c r="O36" s="2">
        <f t="shared" si="0"/>
        <v>0.85450900180333933</v>
      </c>
      <c r="P36">
        <f t="shared" si="1"/>
        <v>1</v>
      </c>
      <c r="Q36" s="1">
        <v>7305</v>
      </c>
      <c r="R36" s="1">
        <v>884873</v>
      </c>
      <c r="S36" s="1">
        <v>9957078</v>
      </c>
      <c r="T36" s="1">
        <v>5834016</v>
      </c>
      <c r="U36" s="1">
        <v>4123062</v>
      </c>
      <c r="V36" s="1">
        <v>5010898</v>
      </c>
      <c r="W36" s="1">
        <v>4275839</v>
      </c>
      <c r="X36" s="1">
        <v>13943036</v>
      </c>
      <c r="Y36" s="1">
        <v>2063041</v>
      </c>
      <c r="Z36" s="1">
        <v>2094197</v>
      </c>
      <c r="AA36" s="1">
        <v>1636634</v>
      </c>
      <c r="AB36" s="1">
        <v>424533</v>
      </c>
      <c r="AC36" s="1">
        <v>12183889</v>
      </c>
      <c r="AD36" s="2">
        <f t="shared" si="2"/>
        <v>0.87383328853199549</v>
      </c>
      <c r="AE36">
        <f t="shared" si="3"/>
        <v>1</v>
      </c>
      <c r="AF36" s="1">
        <v>7247</v>
      </c>
      <c r="AG36" s="1">
        <v>1264747</v>
      </c>
      <c r="AH36" s="1">
        <v>16948309</v>
      </c>
      <c r="AI36" s="1">
        <v>6591384</v>
      </c>
      <c r="AJ36" s="1">
        <v>10356925</v>
      </c>
      <c r="AK36" s="1">
        <v>10055515</v>
      </c>
      <c r="AL36" s="1">
        <v>6892794</v>
      </c>
    </row>
    <row r="37" spans="1:38" x14ac:dyDescent="0.2">
      <c r="A37">
        <v>41</v>
      </c>
      <c r="B37" t="s">
        <v>115</v>
      </c>
      <c r="C37" t="s">
        <v>571</v>
      </c>
      <c r="D37" t="s">
        <v>966</v>
      </c>
      <c r="E37" t="s">
        <v>1123</v>
      </c>
      <c r="F37" t="s">
        <v>1301</v>
      </c>
      <c r="G37" s="7">
        <v>500</v>
      </c>
      <c r="H37" t="str">
        <f t="shared" si="4"/>
        <v>Z</v>
      </c>
      <c r="I37" s="1">
        <v>8295503</v>
      </c>
      <c r="J37" s="1">
        <v>123245</v>
      </c>
      <c r="K37" s="1">
        <v>125818</v>
      </c>
      <c r="L37" s="1">
        <v>81332</v>
      </c>
      <c r="M37" s="1">
        <v>200958</v>
      </c>
      <c r="N37" s="1">
        <v>4633</v>
      </c>
      <c r="O37" s="2">
        <f t="shared" si="0"/>
        <v>5.5849536791198798E-4</v>
      </c>
      <c r="P37">
        <f t="shared" si="1"/>
        <v>0</v>
      </c>
      <c r="Q37" s="1">
        <v>13069</v>
      </c>
      <c r="R37" s="1">
        <v>762022</v>
      </c>
      <c r="S37" s="1">
        <v>4730566</v>
      </c>
      <c r="T37" s="1">
        <v>3102776</v>
      </c>
      <c r="U37" s="1">
        <v>1627790</v>
      </c>
      <c r="V37" s="1">
        <v>2601930</v>
      </c>
      <c r="W37" s="1">
        <v>2128636</v>
      </c>
      <c r="X37" s="1">
        <v>9329180</v>
      </c>
      <c r="Y37" s="1">
        <v>-60428</v>
      </c>
      <c r="Z37" s="1">
        <v>-45930</v>
      </c>
      <c r="AA37" s="1">
        <v>-53613</v>
      </c>
      <c r="AB37" s="1">
        <v>180807</v>
      </c>
      <c r="AC37" s="1">
        <v>5958</v>
      </c>
      <c r="AD37" s="2">
        <f t="shared" si="2"/>
        <v>6.3864133825266526E-4</v>
      </c>
      <c r="AE37">
        <f t="shared" si="3"/>
        <v>0</v>
      </c>
      <c r="AF37" s="1">
        <v>8882</v>
      </c>
      <c r="AG37" s="1">
        <v>865457</v>
      </c>
      <c r="AH37" s="1">
        <v>4429310</v>
      </c>
      <c r="AI37" s="1">
        <v>2631767</v>
      </c>
      <c r="AJ37" s="1">
        <v>1797543</v>
      </c>
      <c r="AK37" s="1">
        <v>2514631</v>
      </c>
      <c r="AL37" s="1">
        <v>1914679</v>
      </c>
    </row>
    <row r="38" spans="1:38" x14ac:dyDescent="0.2">
      <c r="A38">
        <v>42</v>
      </c>
      <c r="B38" t="s">
        <v>97</v>
      </c>
      <c r="C38" t="s">
        <v>553</v>
      </c>
      <c r="D38" t="s">
        <v>992</v>
      </c>
      <c r="E38" t="s">
        <v>1152</v>
      </c>
      <c r="F38" t="s">
        <v>1307</v>
      </c>
      <c r="G38" s="7">
        <v>450</v>
      </c>
      <c r="H38" t="str">
        <f t="shared" si="4"/>
        <v>K</v>
      </c>
      <c r="I38" s="1">
        <v>8272365</v>
      </c>
      <c r="J38" s="1">
        <v>156692</v>
      </c>
      <c r="K38" s="1">
        <v>155026</v>
      </c>
      <c r="L38" s="1">
        <v>117453</v>
      </c>
      <c r="M38" s="1">
        <v>55610</v>
      </c>
      <c r="N38" s="1">
        <v>54040</v>
      </c>
      <c r="O38" s="2">
        <f t="shared" si="0"/>
        <v>6.532593762485093E-3</v>
      </c>
      <c r="P38">
        <f t="shared" si="1"/>
        <v>0</v>
      </c>
      <c r="Q38" s="1">
        <v>3754</v>
      </c>
      <c r="R38" s="1">
        <v>270382</v>
      </c>
      <c r="S38" s="1">
        <v>3411219</v>
      </c>
      <c r="T38" s="1">
        <v>1012926</v>
      </c>
      <c r="U38" s="1">
        <v>2398293</v>
      </c>
      <c r="V38" s="1">
        <v>643620</v>
      </c>
      <c r="W38" s="1">
        <v>2765602</v>
      </c>
      <c r="X38" s="1">
        <v>12611751</v>
      </c>
      <c r="Y38" s="1">
        <v>274721</v>
      </c>
      <c r="Z38" s="1">
        <v>226993</v>
      </c>
      <c r="AA38" s="1">
        <v>171558</v>
      </c>
      <c r="AB38" s="1">
        <v>120158</v>
      </c>
      <c r="AC38" s="1">
        <v>0</v>
      </c>
      <c r="AD38" s="2">
        <f t="shared" si="2"/>
        <v>0</v>
      </c>
      <c r="AE38">
        <f t="shared" si="3"/>
        <v>0</v>
      </c>
      <c r="AF38" s="1">
        <v>5190</v>
      </c>
      <c r="AG38" s="1">
        <v>736836</v>
      </c>
      <c r="AH38" s="1">
        <v>5510182</v>
      </c>
      <c r="AI38" s="1">
        <v>1945070</v>
      </c>
      <c r="AJ38" s="1">
        <v>3565112</v>
      </c>
      <c r="AK38" s="1">
        <v>1411743</v>
      </c>
      <c r="AL38" s="1">
        <v>4098439</v>
      </c>
    </row>
    <row r="39" spans="1:38" x14ac:dyDescent="0.2">
      <c r="A39">
        <v>43</v>
      </c>
      <c r="B39" t="s">
        <v>300</v>
      </c>
      <c r="C39" t="s">
        <v>756</v>
      </c>
      <c r="D39" t="s">
        <v>1008</v>
      </c>
      <c r="E39" t="s">
        <v>1170</v>
      </c>
      <c r="F39" t="s">
        <v>1301</v>
      </c>
      <c r="G39" s="7">
        <v>500</v>
      </c>
      <c r="H39" t="str">
        <f t="shared" si="4"/>
        <v>Z</v>
      </c>
      <c r="I39" s="1">
        <v>10513722</v>
      </c>
      <c r="J39" s="1">
        <v>124302</v>
      </c>
      <c r="K39" s="1">
        <v>197410</v>
      </c>
      <c r="L39" s="1">
        <v>197966</v>
      </c>
      <c r="M39" s="1">
        <v>199053</v>
      </c>
      <c r="N39" s="1">
        <v>0</v>
      </c>
      <c r="O39" s="2">
        <f t="shared" si="0"/>
        <v>0</v>
      </c>
      <c r="P39">
        <f t="shared" si="1"/>
        <v>0</v>
      </c>
      <c r="Q39" s="1">
        <v>10870</v>
      </c>
      <c r="R39" s="1">
        <v>949497</v>
      </c>
      <c r="S39" s="1">
        <v>4619586</v>
      </c>
      <c r="T39" s="1">
        <v>3551105</v>
      </c>
      <c r="U39" s="1">
        <v>1068481</v>
      </c>
      <c r="V39" s="1">
        <v>836886</v>
      </c>
      <c r="W39" s="1">
        <v>3782700</v>
      </c>
      <c r="X39" s="1">
        <v>2430641</v>
      </c>
      <c r="Y39" s="1">
        <v>-168318</v>
      </c>
      <c r="Z39" s="1">
        <v>-147682</v>
      </c>
      <c r="AA39" s="1">
        <v>-148890</v>
      </c>
      <c r="AB39" s="1">
        <v>116504</v>
      </c>
      <c r="AC39" s="1">
        <v>0</v>
      </c>
      <c r="AD39" s="2">
        <f t="shared" si="2"/>
        <v>0</v>
      </c>
      <c r="AE39">
        <f t="shared" si="3"/>
        <v>0</v>
      </c>
      <c r="AF39" s="1">
        <v>2541</v>
      </c>
      <c r="AG39" s="1">
        <v>213712</v>
      </c>
      <c r="AH39" s="1">
        <v>1895069</v>
      </c>
      <c r="AI39" s="1">
        <v>1307708</v>
      </c>
      <c r="AJ39" s="1">
        <v>587361</v>
      </c>
      <c r="AK39" s="1">
        <v>1791464</v>
      </c>
      <c r="AL39" s="1">
        <v>103605</v>
      </c>
    </row>
    <row r="40" spans="1:38" x14ac:dyDescent="0.2">
      <c r="A40">
        <v>44</v>
      </c>
      <c r="B40" t="s">
        <v>105</v>
      </c>
      <c r="C40" t="s">
        <v>561</v>
      </c>
      <c r="D40" t="s">
        <v>984</v>
      </c>
      <c r="E40" t="s">
        <v>1142</v>
      </c>
      <c r="F40" t="s">
        <v>1301</v>
      </c>
      <c r="G40" s="7">
        <v>540</v>
      </c>
      <c r="H40" t="str">
        <f t="shared" si="4"/>
        <v>Z</v>
      </c>
      <c r="I40" s="1">
        <v>7740000</v>
      </c>
      <c r="J40" s="1"/>
      <c r="K40" s="1"/>
      <c r="L40" s="1"/>
      <c r="M40" s="1"/>
      <c r="N40" s="1"/>
      <c r="O40" s="2">
        <f t="shared" si="0"/>
        <v>0</v>
      </c>
      <c r="P40">
        <f t="shared" si="1"/>
        <v>0</v>
      </c>
      <c r="Q40" s="1">
        <v>13300</v>
      </c>
      <c r="R40" s="1"/>
      <c r="S40" s="1"/>
      <c r="T40" s="1"/>
      <c r="U40" s="1"/>
      <c r="V40" s="1"/>
      <c r="W40" s="1"/>
      <c r="X40" s="1">
        <v>10930000</v>
      </c>
      <c r="Y40" s="1"/>
      <c r="Z40" s="1"/>
      <c r="AA40" s="1"/>
      <c r="AB40" s="1"/>
      <c r="AC40" s="1"/>
      <c r="AD40" s="2">
        <f t="shared" si="2"/>
        <v>0</v>
      </c>
      <c r="AE40">
        <f t="shared" si="3"/>
        <v>0</v>
      </c>
      <c r="AF40" s="1">
        <v>15500</v>
      </c>
      <c r="AG40" s="1"/>
      <c r="AH40" s="1"/>
      <c r="AI40" s="1"/>
      <c r="AJ40" s="1"/>
      <c r="AK40" s="1"/>
      <c r="AL40" s="1"/>
    </row>
    <row r="41" spans="1:38" x14ac:dyDescent="0.2">
      <c r="A41">
        <v>45</v>
      </c>
      <c r="B41" t="s">
        <v>67</v>
      </c>
      <c r="C41" t="s">
        <v>523</v>
      </c>
      <c r="D41" t="s">
        <v>972</v>
      </c>
      <c r="E41" t="s">
        <v>1129</v>
      </c>
      <c r="F41" t="s">
        <v>1305</v>
      </c>
      <c r="G41" s="7">
        <v>500</v>
      </c>
      <c r="H41" t="str">
        <f t="shared" si="4"/>
        <v>Z</v>
      </c>
      <c r="I41" s="1">
        <v>7720411</v>
      </c>
      <c r="J41" s="1">
        <v>-1273790</v>
      </c>
      <c r="K41" s="1">
        <v>-1225646</v>
      </c>
      <c r="L41" s="1">
        <v>-1228250</v>
      </c>
      <c r="M41" s="1">
        <v>332147</v>
      </c>
      <c r="N41" s="1">
        <v>6937523</v>
      </c>
      <c r="O41" s="2">
        <f t="shared" si="0"/>
        <v>0.89859503593785361</v>
      </c>
      <c r="P41">
        <f t="shared" si="1"/>
        <v>1</v>
      </c>
      <c r="Q41" s="1">
        <v>2121</v>
      </c>
      <c r="R41" s="1">
        <v>273242</v>
      </c>
      <c r="S41" s="1">
        <v>14205579</v>
      </c>
      <c r="T41" s="1">
        <v>9978579</v>
      </c>
      <c r="U41" s="1">
        <v>4227000</v>
      </c>
      <c r="V41" s="1">
        <v>3096551</v>
      </c>
      <c r="W41" s="1">
        <v>11109028</v>
      </c>
      <c r="X41" s="1">
        <v>24139300</v>
      </c>
      <c r="Y41" s="1">
        <v>601761</v>
      </c>
      <c r="Z41" s="1">
        <v>897884</v>
      </c>
      <c r="AA41" s="1">
        <v>594006</v>
      </c>
      <c r="AB41" s="1">
        <v>2064772</v>
      </c>
      <c r="AC41" s="1">
        <v>13611449</v>
      </c>
      <c r="AD41" s="2">
        <f t="shared" si="2"/>
        <v>0.56387090760709713</v>
      </c>
      <c r="AE41">
        <f t="shared" si="3"/>
        <v>1</v>
      </c>
      <c r="AF41" s="1">
        <v>5924</v>
      </c>
      <c r="AG41" s="1">
        <v>1067858</v>
      </c>
      <c r="AH41" s="1">
        <v>24307493</v>
      </c>
      <c r="AI41" s="1">
        <v>16133668</v>
      </c>
      <c r="AJ41" s="1">
        <v>8173825</v>
      </c>
      <c r="AK41" s="1">
        <v>8217131</v>
      </c>
      <c r="AL41" s="1">
        <v>16090362</v>
      </c>
    </row>
    <row r="42" spans="1:38" x14ac:dyDescent="0.2">
      <c r="A42">
        <v>46</v>
      </c>
      <c r="B42" t="s">
        <v>64</v>
      </c>
      <c r="C42" t="s">
        <v>520</v>
      </c>
      <c r="D42" t="s">
        <v>966</v>
      </c>
      <c r="E42" t="s">
        <v>1123</v>
      </c>
      <c r="F42" t="s">
        <v>1301</v>
      </c>
      <c r="G42" s="7">
        <v>400</v>
      </c>
      <c r="H42" t="str">
        <f t="shared" si="4"/>
        <v>K</v>
      </c>
      <c r="I42" s="1">
        <v>7646547</v>
      </c>
      <c r="J42" s="1">
        <v>561909</v>
      </c>
      <c r="K42" s="1">
        <v>502460</v>
      </c>
      <c r="L42" s="1">
        <v>410907</v>
      </c>
      <c r="M42" s="1">
        <v>163517</v>
      </c>
      <c r="N42" s="1">
        <v>0</v>
      </c>
      <c r="O42" s="2">
        <f t="shared" si="0"/>
        <v>0</v>
      </c>
      <c r="P42">
        <f t="shared" si="1"/>
        <v>0</v>
      </c>
      <c r="Q42" s="1">
        <v>20630</v>
      </c>
      <c r="R42" s="1">
        <v>847542</v>
      </c>
      <c r="S42" s="1">
        <v>4350750</v>
      </c>
      <c r="T42" s="1">
        <v>3215763</v>
      </c>
      <c r="U42" s="1">
        <v>1134987</v>
      </c>
      <c r="V42" s="1">
        <v>1622353</v>
      </c>
      <c r="W42" s="1">
        <v>2728397</v>
      </c>
      <c r="X42" s="1">
        <v>29273792</v>
      </c>
      <c r="Y42" s="1">
        <v>1908330</v>
      </c>
      <c r="Z42" s="1">
        <v>1793563</v>
      </c>
      <c r="AA42" s="1">
        <v>1505729</v>
      </c>
      <c r="AB42" s="1">
        <v>409179</v>
      </c>
      <c r="AC42" s="1">
        <v>0</v>
      </c>
      <c r="AD42" s="2">
        <f t="shared" si="2"/>
        <v>0</v>
      </c>
      <c r="AE42">
        <f t="shared" si="3"/>
        <v>0</v>
      </c>
      <c r="AF42" s="1">
        <v>49887</v>
      </c>
      <c r="AG42" s="1">
        <v>3533656</v>
      </c>
      <c r="AH42" s="1">
        <v>13055794</v>
      </c>
      <c r="AI42" s="1">
        <v>8616378</v>
      </c>
      <c r="AJ42" s="1">
        <v>4439416</v>
      </c>
      <c r="AK42" s="1">
        <v>7102434</v>
      </c>
      <c r="AL42" s="1">
        <v>5953360</v>
      </c>
    </row>
    <row r="43" spans="1:38" x14ac:dyDescent="0.2">
      <c r="A43">
        <v>47</v>
      </c>
      <c r="B43" t="s">
        <v>102</v>
      </c>
      <c r="C43" t="s">
        <v>558</v>
      </c>
      <c r="D43" t="s">
        <v>980</v>
      </c>
      <c r="E43" t="s">
        <v>1137</v>
      </c>
      <c r="F43" t="s">
        <v>1304</v>
      </c>
      <c r="G43" s="7">
        <v>400</v>
      </c>
      <c r="H43" t="str">
        <f t="shared" si="4"/>
        <v>K</v>
      </c>
      <c r="I43" s="1">
        <v>7621694</v>
      </c>
      <c r="J43" s="1">
        <v>34328</v>
      </c>
      <c r="K43" s="1">
        <v>23494</v>
      </c>
      <c r="L43" s="1">
        <v>18314</v>
      </c>
      <c r="M43" s="1">
        <v>3560</v>
      </c>
      <c r="N43" s="1">
        <v>0</v>
      </c>
      <c r="O43" s="2">
        <f t="shared" si="0"/>
        <v>0</v>
      </c>
      <c r="P43">
        <f t="shared" si="1"/>
        <v>0</v>
      </c>
      <c r="Q43" s="1">
        <v>1296</v>
      </c>
      <c r="R43" s="1">
        <v>87200</v>
      </c>
      <c r="S43" s="1">
        <v>816429</v>
      </c>
      <c r="T43" s="1">
        <v>20738</v>
      </c>
      <c r="U43" s="1">
        <v>795691</v>
      </c>
      <c r="V43" s="1">
        <v>92569</v>
      </c>
      <c r="W43" s="1">
        <v>723860</v>
      </c>
      <c r="X43" s="1">
        <v>11817347.581900001</v>
      </c>
      <c r="Y43" s="1">
        <v>130356.44413</v>
      </c>
      <c r="Z43" s="1">
        <v>117773.18938</v>
      </c>
      <c r="AA43" s="1">
        <v>115926.64684</v>
      </c>
      <c r="AB43" s="1">
        <v>2654.3546299999998</v>
      </c>
      <c r="AC43" s="1">
        <v>0</v>
      </c>
      <c r="AD43" s="2">
        <f t="shared" si="2"/>
        <v>0</v>
      </c>
      <c r="AE43">
        <f t="shared" si="3"/>
        <v>0</v>
      </c>
      <c r="AF43" s="1">
        <v>837</v>
      </c>
      <c r="AG43" s="1">
        <v>96938.368730000002</v>
      </c>
      <c r="AH43" s="1">
        <v>1299033.9941799999</v>
      </c>
      <c r="AI43" s="1">
        <v>14235.32459</v>
      </c>
      <c r="AJ43" s="1">
        <v>1284798.6695900001</v>
      </c>
      <c r="AK43" s="1">
        <v>207509.97640000001</v>
      </c>
      <c r="AL43" s="1">
        <v>1091524.0177800001</v>
      </c>
    </row>
    <row r="44" spans="1:38" x14ac:dyDescent="0.2">
      <c r="A44">
        <v>48</v>
      </c>
      <c r="B44" t="s">
        <v>119</v>
      </c>
      <c r="C44" t="s">
        <v>575</v>
      </c>
      <c r="D44" t="s">
        <v>1001</v>
      </c>
      <c r="E44" t="s">
        <v>1161</v>
      </c>
      <c r="F44" t="s">
        <v>1294</v>
      </c>
      <c r="G44" s="7">
        <v>540</v>
      </c>
      <c r="H44" t="str">
        <f t="shared" si="4"/>
        <v>Z</v>
      </c>
      <c r="I44" s="1">
        <v>7569663</v>
      </c>
      <c r="J44" s="1">
        <v>318394</v>
      </c>
      <c r="K44" s="1">
        <v>332357</v>
      </c>
      <c r="L44" s="1">
        <v>228851</v>
      </c>
      <c r="M44" s="1">
        <v>105679</v>
      </c>
      <c r="N44" s="1">
        <v>408024</v>
      </c>
      <c r="O44" s="2">
        <f t="shared" si="0"/>
        <v>5.3902531724331716E-2</v>
      </c>
      <c r="P44">
        <f t="shared" si="1"/>
        <v>0</v>
      </c>
      <c r="Q44" s="1">
        <v>7478</v>
      </c>
      <c r="R44" s="1">
        <v>1024973</v>
      </c>
      <c r="S44" s="1">
        <v>6673959</v>
      </c>
      <c r="T44" s="1">
        <v>1434542</v>
      </c>
      <c r="U44" s="1">
        <v>5239417</v>
      </c>
      <c r="V44" s="1">
        <v>836640</v>
      </c>
      <c r="W44" s="1">
        <v>5837319</v>
      </c>
      <c r="X44" s="1">
        <v>9117843</v>
      </c>
      <c r="Y44" s="1">
        <v>743830</v>
      </c>
      <c r="Z44" s="1">
        <v>839746</v>
      </c>
      <c r="AA44" s="1">
        <v>623609</v>
      </c>
      <c r="AB44" s="1">
        <v>140313</v>
      </c>
      <c r="AC44" s="1">
        <v>624022</v>
      </c>
      <c r="AD44" s="2">
        <f t="shared" si="2"/>
        <v>6.8439651790450876E-2</v>
      </c>
      <c r="AE44">
        <f t="shared" si="3"/>
        <v>0</v>
      </c>
      <c r="AF44" s="1">
        <v>7613</v>
      </c>
      <c r="AG44" s="1">
        <v>1695608</v>
      </c>
      <c r="AH44" s="1">
        <v>7816330</v>
      </c>
      <c r="AI44" s="1">
        <v>2115524</v>
      </c>
      <c r="AJ44" s="1">
        <v>5700806</v>
      </c>
      <c r="AK44" s="1">
        <v>1283317</v>
      </c>
      <c r="AL44" s="1">
        <v>6533013</v>
      </c>
    </row>
    <row r="45" spans="1:38" x14ac:dyDescent="0.2">
      <c r="A45">
        <v>49</v>
      </c>
      <c r="B45" t="s">
        <v>103</v>
      </c>
      <c r="C45" t="s">
        <v>559</v>
      </c>
      <c r="D45" t="s">
        <v>979</v>
      </c>
      <c r="E45" t="s">
        <v>1136</v>
      </c>
      <c r="F45" t="s">
        <v>1301</v>
      </c>
      <c r="G45" s="7">
        <v>400</v>
      </c>
      <c r="H45" t="str">
        <f t="shared" si="4"/>
        <v>K</v>
      </c>
      <c r="I45" s="1">
        <v>7517830.6500000004</v>
      </c>
      <c r="J45" s="1">
        <v>250712.42702999999</v>
      </c>
      <c r="K45" s="1">
        <v>240869.13016999999</v>
      </c>
      <c r="L45" s="1">
        <v>191982.68316999989</v>
      </c>
      <c r="M45" s="1">
        <v>64342.022040000003</v>
      </c>
      <c r="N45" s="1">
        <v>27402</v>
      </c>
      <c r="O45" s="2">
        <f t="shared" si="0"/>
        <v>3.6449344599163054E-3</v>
      </c>
      <c r="P45">
        <f t="shared" si="1"/>
        <v>0</v>
      </c>
      <c r="Q45" s="1">
        <v>6588</v>
      </c>
      <c r="R45" s="1">
        <v>534938.72103999997</v>
      </c>
      <c r="S45" s="1">
        <v>2633222</v>
      </c>
      <c r="T45" s="1">
        <v>242404</v>
      </c>
      <c r="U45" s="1">
        <v>2390818</v>
      </c>
      <c r="V45" s="1">
        <v>484125</v>
      </c>
      <c r="W45" s="1">
        <v>2149097.6766499998</v>
      </c>
      <c r="X45" s="1">
        <v>11167964.16811</v>
      </c>
      <c r="Y45" s="1">
        <v>84553.409029999995</v>
      </c>
      <c r="Z45" s="1">
        <v>27782.303159999999</v>
      </c>
      <c r="AA45" s="1">
        <v>21778.742160000002</v>
      </c>
      <c r="AB45" s="1">
        <v>84758.286720000004</v>
      </c>
      <c r="AC45" s="1">
        <v>0</v>
      </c>
      <c r="AD45" s="2">
        <f t="shared" si="2"/>
        <v>0</v>
      </c>
      <c r="AE45">
        <f t="shared" si="3"/>
        <v>0</v>
      </c>
      <c r="AF45" s="1">
        <v>6589</v>
      </c>
      <c r="AG45" s="1">
        <v>729474.54969000001</v>
      </c>
      <c r="AH45" s="1">
        <v>3938216.30975</v>
      </c>
      <c r="AI45" s="1">
        <v>337427.80958</v>
      </c>
      <c r="AJ45" s="1">
        <v>3600788.5001699999</v>
      </c>
      <c r="AK45" s="1">
        <v>613003.94934000005</v>
      </c>
      <c r="AL45" s="1">
        <v>3325212.3604100002</v>
      </c>
    </row>
    <row r="46" spans="1:38" x14ac:dyDescent="0.2">
      <c r="A46">
        <v>50</v>
      </c>
      <c r="B46" t="s">
        <v>112</v>
      </c>
      <c r="C46" t="s">
        <v>568</v>
      </c>
      <c r="D46" t="s">
        <v>998</v>
      </c>
      <c r="E46" t="s">
        <v>1158</v>
      </c>
      <c r="F46" t="s">
        <v>1311</v>
      </c>
      <c r="G46" s="7">
        <v>124</v>
      </c>
      <c r="H46" t="str">
        <f t="shared" si="4"/>
        <v>K</v>
      </c>
      <c r="I46" s="1">
        <v>7368477.7000000002</v>
      </c>
      <c r="J46" s="1">
        <v>91906</v>
      </c>
      <c r="K46" s="1">
        <v>106710</v>
      </c>
      <c r="L46" s="1">
        <v>68850</v>
      </c>
      <c r="M46" s="1">
        <v>133079</v>
      </c>
      <c r="N46" s="1">
        <v>6874501</v>
      </c>
      <c r="O46" s="2">
        <f t="shared" si="0"/>
        <v>0.93296082038763584</v>
      </c>
      <c r="P46">
        <f t="shared" si="1"/>
        <v>1</v>
      </c>
      <c r="Q46" s="1">
        <v>1754</v>
      </c>
      <c r="R46" s="1">
        <v>320100.68706000003</v>
      </c>
      <c r="S46" s="1">
        <v>5263672</v>
      </c>
      <c r="T46" s="1">
        <v>2882576</v>
      </c>
      <c r="U46" s="1">
        <v>2381096</v>
      </c>
      <c r="V46" s="1">
        <v>508013</v>
      </c>
      <c r="W46" s="1">
        <v>4755658.37959</v>
      </c>
      <c r="X46" s="1">
        <v>9925571.3822300006</v>
      </c>
      <c r="Y46" s="1">
        <v>805657.88532</v>
      </c>
      <c r="Z46" s="1">
        <v>806015.19547999999</v>
      </c>
      <c r="AA46" s="1">
        <v>688500</v>
      </c>
      <c r="AB46" s="1">
        <v>119117.32202000001</v>
      </c>
      <c r="AC46" s="1">
        <v>9457837</v>
      </c>
      <c r="AD46" s="2">
        <f t="shared" si="2"/>
        <v>0.95287582304154328</v>
      </c>
      <c r="AE46">
        <f t="shared" si="3"/>
        <v>1</v>
      </c>
      <c r="AF46" s="1">
        <v>1267</v>
      </c>
      <c r="AG46" s="1">
        <v>318388.21652000002</v>
      </c>
      <c r="AH46" s="1">
        <v>5544969.7927200003</v>
      </c>
      <c r="AI46" s="1">
        <v>2491612.36815</v>
      </c>
      <c r="AJ46" s="1">
        <v>3053357.4245699998</v>
      </c>
      <c r="AK46" s="1">
        <v>1142014.27189</v>
      </c>
      <c r="AL46" s="1">
        <v>4402955.5208299998</v>
      </c>
    </row>
    <row r="47" spans="1:38" x14ac:dyDescent="0.2">
      <c r="A47">
        <v>51</v>
      </c>
      <c r="B47" t="s">
        <v>116</v>
      </c>
      <c r="C47" t="s">
        <v>572</v>
      </c>
      <c r="D47" t="s">
        <v>1000</v>
      </c>
      <c r="E47" t="s">
        <v>1160</v>
      </c>
      <c r="F47" t="s">
        <v>1301</v>
      </c>
      <c r="G47" s="7">
        <v>500</v>
      </c>
      <c r="H47" t="str">
        <f t="shared" si="4"/>
        <v>Z</v>
      </c>
      <c r="I47" s="1">
        <v>7245821</v>
      </c>
      <c r="J47" s="1">
        <v>430568</v>
      </c>
      <c r="K47" s="1">
        <v>545534</v>
      </c>
      <c r="L47" s="1">
        <v>394364</v>
      </c>
      <c r="M47" s="1">
        <v>69610</v>
      </c>
      <c r="N47" s="1">
        <v>0</v>
      </c>
      <c r="O47" s="2">
        <f t="shared" si="0"/>
        <v>0</v>
      </c>
      <c r="P47">
        <f t="shared" si="1"/>
        <v>0</v>
      </c>
      <c r="Q47" s="1">
        <v>11757</v>
      </c>
      <c r="R47" s="1">
        <v>934168</v>
      </c>
      <c r="S47" s="1">
        <v>7739284</v>
      </c>
      <c r="T47" s="1">
        <v>4258928</v>
      </c>
      <c r="U47" s="1">
        <v>3480356</v>
      </c>
      <c r="V47" s="1">
        <v>6513636</v>
      </c>
      <c r="W47" s="1">
        <v>1225648</v>
      </c>
      <c r="X47" s="1">
        <v>8952169</v>
      </c>
      <c r="Y47" s="1">
        <v>93212</v>
      </c>
      <c r="Z47" s="1">
        <v>212524</v>
      </c>
      <c r="AA47" s="1">
        <v>313089</v>
      </c>
      <c r="AB47" s="1">
        <v>129404</v>
      </c>
      <c r="AC47" s="1">
        <v>0</v>
      </c>
      <c r="AD47" s="2">
        <f t="shared" si="2"/>
        <v>0</v>
      </c>
      <c r="AE47">
        <f t="shared" si="3"/>
        <v>0</v>
      </c>
      <c r="AF47" s="1">
        <v>12422</v>
      </c>
      <c r="AG47" s="1">
        <v>1217926</v>
      </c>
      <c r="AH47" s="1">
        <v>7783660</v>
      </c>
      <c r="AI47" s="1">
        <v>4505677</v>
      </c>
      <c r="AJ47" s="1">
        <v>3277983</v>
      </c>
      <c r="AK47" s="1">
        <v>6241895</v>
      </c>
      <c r="AL47" s="1">
        <v>1541765</v>
      </c>
    </row>
    <row r="48" spans="1:38" x14ac:dyDescent="0.2">
      <c r="A48">
        <v>52</v>
      </c>
      <c r="B48" t="s">
        <v>127</v>
      </c>
      <c r="C48" t="s">
        <v>583</v>
      </c>
      <c r="D48" t="s">
        <v>1003</v>
      </c>
      <c r="E48" t="s">
        <v>1166</v>
      </c>
      <c r="F48" t="s">
        <v>1311</v>
      </c>
      <c r="G48" s="7">
        <v>100</v>
      </c>
      <c r="H48" t="str">
        <f t="shared" si="4"/>
        <v>K</v>
      </c>
      <c r="I48" s="1">
        <v>7164298</v>
      </c>
      <c r="J48" s="1">
        <v>148608</v>
      </c>
      <c r="K48" s="1">
        <v>82633</v>
      </c>
      <c r="L48" s="1">
        <v>25594</v>
      </c>
      <c r="M48" s="1">
        <v>245002</v>
      </c>
      <c r="N48" s="1">
        <v>269807</v>
      </c>
      <c r="O48" s="2">
        <f t="shared" si="0"/>
        <v>3.7659935418655116E-2</v>
      </c>
      <c r="P48">
        <f t="shared" si="1"/>
        <v>0</v>
      </c>
      <c r="Q48" s="1">
        <v>80116</v>
      </c>
      <c r="R48" s="1">
        <v>4871377</v>
      </c>
      <c r="S48" s="1">
        <v>12393412</v>
      </c>
      <c r="T48" s="1">
        <v>8645921</v>
      </c>
      <c r="U48" s="1">
        <v>3747491</v>
      </c>
      <c r="V48" s="1">
        <v>1336783</v>
      </c>
      <c r="W48" s="1">
        <v>9680151</v>
      </c>
      <c r="X48" s="1">
        <v>7530604</v>
      </c>
      <c r="Y48" s="1">
        <v>100339</v>
      </c>
      <c r="Z48" s="1">
        <v>92697</v>
      </c>
      <c r="AA48" s="1">
        <v>45378</v>
      </c>
      <c r="AB48" s="1">
        <v>205198</v>
      </c>
      <c r="AC48" s="1">
        <v>150283</v>
      </c>
      <c r="AD48" s="2">
        <f t="shared" si="2"/>
        <v>1.9956300981966386E-2</v>
      </c>
      <c r="AE48">
        <f t="shared" si="3"/>
        <v>0</v>
      </c>
      <c r="AF48" s="1">
        <v>61659</v>
      </c>
      <c r="AG48" s="1">
        <v>5267551</v>
      </c>
      <c r="AH48" s="1">
        <v>14039176</v>
      </c>
      <c r="AI48" s="1">
        <v>9783134</v>
      </c>
      <c r="AJ48" s="1">
        <v>4256042</v>
      </c>
      <c r="AK48" s="1">
        <v>1161399</v>
      </c>
      <c r="AL48" s="1">
        <v>12611104</v>
      </c>
    </row>
    <row r="49" spans="1:38" x14ac:dyDescent="0.2">
      <c r="A49">
        <v>53</v>
      </c>
      <c r="B49" t="s">
        <v>109</v>
      </c>
      <c r="C49" t="s">
        <v>565</v>
      </c>
      <c r="D49" t="s">
        <v>997</v>
      </c>
      <c r="E49" t="s">
        <v>1156</v>
      </c>
      <c r="F49" t="s">
        <v>1309</v>
      </c>
      <c r="G49" s="7">
        <v>500</v>
      </c>
      <c r="H49" t="str">
        <f t="shared" si="4"/>
        <v>Z</v>
      </c>
      <c r="I49" s="1">
        <v>7040753</v>
      </c>
      <c r="J49" s="1">
        <v>1513691</v>
      </c>
      <c r="K49" s="1">
        <v>1260519</v>
      </c>
      <c r="L49" s="1">
        <v>972709</v>
      </c>
      <c r="M49" s="1">
        <v>906021</v>
      </c>
      <c r="N49" s="1">
        <v>0</v>
      </c>
      <c r="O49" s="2">
        <f t="shared" si="0"/>
        <v>0</v>
      </c>
      <c r="P49">
        <f t="shared" si="1"/>
        <v>0</v>
      </c>
      <c r="Q49" s="1"/>
      <c r="R49" s="1">
        <v>275992</v>
      </c>
      <c r="S49" s="1">
        <v>9078823</v>
      </c>
      <c r="T49" s="1">
        <v>2678513</v>
      </c>
      <c r="U49" s="1">
        <v>6400310</v>
      </c>
      <c r="V49" s="1">
        <v>2262793</v>
      </c>
      <c r="W49" s="1">
        <v>6816030</v>
      </c>
      <c r="X49" s="1">
        <v>10186521</v>
      </c>
      <c r="Y49" s="1">
        <v>2872023</v>
      </c>
      <c r="Z49" s="1">
        <v>1728933</v>
      </c>
      <c r="AA49" s="1">
        <v>1415941</v>
      </c>
      <c r="AB49" s="1">
        <v>1700402</v>
      </c>
      <c r="AC49" s="1">
        <v>0</v>
      </c>
      <c r="AD49" s="2">
        <f t="shared" si="2"/>
        <v>0</v>
      </c>
      <c r="AE49">
        <f t="shared" si="3"/>
        <v>0</v>
      </c>
      <c r="AF49" s="1">
        <v>4031</v>
      </c>
      <c r="AG49" s="1">
        <v>652584</v>
      </c>
      <c r="AH49" s="1">
        <v>20274654</v>
      </c>
      <c r="AI49" s="1">
        <v>15429861</v>
      </c>
      <c r="AJ49" s="1">
        <v>4844793</v>
      </c>
      <c r="AK49" s="1">
        <v>940222</v>
      </c>
      <c r="AL49" s="1">
        <v>19334432</v>
      </c>
    </row>
    <row r="50" spans="1:38" x14ac:dyDescent="0.2">
      <c r="A50">
        <v>54</v>
      </c>
      <c r="B50" t="s">
        <v>99</v>
      </c>
      <c r="C50" t="s">
        <v>555</v>
      </c>
      <c r="D50" t="s">
        <v>35</v>
      </c>
      <c r="E50" t="s">
        <v>1154</v>
      </c>
      <c r="F50" t="s">
        <v>1308</v>
      </c>
      <c r="G50" s="7">
        <v>500</v>
      </c>
      <c r="H50" t="str">
        <f t="shared" si="4"/>
        <v>Z</v>
      </c>
      <c r="I50" s="1">
        <v>6884614</v>
      </c>
      <c r="J50" s="1">
        <v>205128</v>
      </c>
      <c r="K50" s="1">
        <v>201882</v>
      </c>
      <c r="L50" s="1">
        <v>152630</v>
      </c>
      <c r="M50" s="1">
        <v>103102</v>
      </c>
      <c r="N50" s="1">
        <v>2199520</v>
      </c>
      <c r="O50" s="2">
        <f t="shared" si="0"/>
        <v>0.31948341620895521</v>
      </c>
      <c r="P50">
        <f t="shared" si="1"/>
        <v>0</v>
      </c>
      <c r="Q50" s="1">
        <v>7466</v>
      </c>
      <c r="R50" s="1">
        <v>535360</v>
      </c>
      <c r="S50" s="1">
        <v>3093410</v>
      </c>
      <c r="T50" s="1">
        <v>1802591</v>
      </c>
      <c r="U50" s="1">
        <v>1290819</v>
      </c>
      <c r="V50" s="1">
        <v>1127210</v>
      </c>
      <c r="W50" s="1">
        <v>1722553</v>
      </c>
      <c r="X50" s="1">
        <v>12224188</v>
      </c>
      <c r="Y50" s="1">
        <v>352435</v>
      </c>
      <c r="Z50" s="1">
        <v>255678</v>
      </c>
      <c r="AA50" s="1">
        <v>202688</v>
      </c>
      <c r="AB50" s="1">
        <v>178616</v>
      </c>
      <c r="AC50" s="1">
        <v>4204953</v>
      </c>
      <c r="AD50" s="2">
        <f t="shared" si="2"/>
        <v>0.343986283587916</v>
      </c>
      <c r="AE50">
        <f t="shared" si="3"/>
        <v>0</v>
      </c>
      <c r="AF50" s="1">
        <v>9177</v>
      </c>
      <c r="AG50" s="1">
        <v>1026527</v>
      </c>
      <c r="AH50" s="1">
        <v>5315933</v>
      </c>
      <c r="AI50" s="1">
        <v>3467326</v>
      </c>
      <c r="AJ50" s="1">
        <v>1848607</v>
      </c>
      <c r="AK50" s="1">
        <v>1901952</v>
      </c>
      <c r="AL50" s="1">
        <v>3413981</v>
      </c>
    </row>
    <row r="51" spans="1:38" x14ac:dyDescent="0.2">
      <c r="A51">
        <v>55</v>
      </c>
      <c r="B51" t="s">
        <v>121</v>
      </c>
      <c r="C51" t="s">
        <v>577</v>
      </c>
      <c r="D51" t="s">
        <v>969</v>
      </c>
      <c r="E51" t="s">
        <v>1126</v>
      </c>
      <c r="F51" t="s">
        <v>1304</v>
      </c>
      <c r="G51" s="7">
        <v>500</v>
      </c>
      <c r="H51" t="str">
        <f t="shared" si="4"/>
        <v>Z</v>
      </c>
      <c r="I51" s="1">
        <v>6885369</v>
      </c>
      <c r="J51" s="1">
        <v>184358</v>
      </c>
      <c r="K51" s="1">
        <v>197781</v>
      </c>
      <c r="L51" s="1">
        <v>155730</v>
      </c>
      <c r="M51" s="1">
        <v>18545</v>
      </c>
      <c r="N51" s="1">
        <v>482258</v>
      </c>
      <c r="O51" s="2">
        <f t="shared" si="0"/>
        <v>7.0040981100649796E-2</v>
      </c>
      <c r="P51">
        <f t="shared" si="1"/>
        <v>0</v>
      </c>
      <c r="Q51" s="1">
        <v>1803</v>
      </c>
      <c r="R51" s="1">
        <v>375857</v>
      </c>
      <c r="S51" s="1">
        <v>2264195</v>
      </c>
      <c r="T51" s="1">
        <v>258760</v>
      </c>
      <c r="U51" s="1">
        <v>2005435</v>
      </c>
      <c r="V51" s="1">
        <v>1456313</v>
      </c>
      <c r="W51" s="1">
        <v>807882.62424000003</v>
      </c>
      <c r="X51" s="1">
        <v>8650087</v>
      </c>
      <c r="Y51" s="1">
        <v>257760</v>
      </c>
      <c r="Z51" s="1">
        <v>349118</v>
      </c>
      <c r="AA51" s="1">
        <v>276986</v>
      </c>
      <c r="AB51" s="1">
        <v>23876</v>
      </c>
      <c r="AC51" s="1">
        <v>7920672</v>
      </c>
      <c r="AD51" s="2">
        <f t="shared" si="2"/>
        <v>0.91567541459409596</v>
      </c>
      <c r="AE51">
        <f t="shared" si="3"/>
        <v>1</v>
      </c>
      <c r="AF51" s="1">
        <v>1941</v>
      </c>
      <c r="AG51" s="1">
        <v>617602</v>
      </c>
      <c r="AH51" s="1">
        <v>2273778</v>
      </c>
      <c r="AI51" s="1">
        <v>240882</v>
      </c>
      <c r="AJ51" s="1">
        <v>2032896</v>
      </c>
      <c r="AK51" s="1">
        <v>1577094</v>
      </c>
      <c r="AL51" s="1">
        <v>696684</v>
      </c>
    </row>
    <row r="52" spans="1:38" x14ac:dyDescent="0.2">
      <c r="A52">
        <v>56</v>
      </c>
      <c r="B52" t="s">
        <v>77</v>
      </c>
      <c r="C52" t="s">
        <v>533</v>
      </c>
      <c r="D52" t="s">
        <v>979</v>
      </c>
      <c r="E52" t="s">
        <v>1136</v>
      </c>
      <c r="F52" t="s">
        <v>1301</v>
      </c>
      <c r="G52" s="7">
        <v>400</v>
      </c>
      <c r="H52" t="str">
        <f t="shared" si="4"/>
        <v>K</v>
      </c>
      <c r="I52" s="1">
        <v>6673670</v>
      </c>
      <c r="J52" s="1">
        <v>350102</v>
      </c>
      <c r="K52" s="1">
        <v>325637.96354000003</v>
      </c>
      <c r="L52" s="1">
        <v>274850</v>
      </c>
      <c r="M52" s="1">
        <v>33901</v>
      </c>
      <c r="N52" s="1">
        <v>0</v>
      </c>
      <c r="O52" s="2">
        <f t="shared" si="0"/>
        <v>0</v>
      </c>
      <c r="P52">
        <f t="shared" si="1"/>
        <v>0</v>
      </c>
      <c r="Q52" s="1">
        <v>8682</v>
      </c>
      <c r="R52" s="1">
        <v>673272</v>
      </c>
      <c r="S52" s="1">
        <v>2033999.28256</v>
      </c>
      <c r="T52" s="1">
        <v>262152.74277999997</v>
      </c>
      <c r="U52" s="1">
        <v>1771846.53978</v>
      </c>
      <c r="V52" s="1">
        <v>755907</v>
      </c>
      <c r="W52" s="1">
        <v>1217488</v>
      </c>
      <c r="X52" s="1">
        <v>18385472</v>
      </c>
      <c r="Y52" s="1">
        <v>669676</v>
      </c>
      <c r="Z52" s="1">
        <v>654339</v>
      </c>
      <c r="AA52" s="1">
        <v>509254</v>
      </c>
      <c r="AB52" s="1">
        <v>82145</v>
      </c>
      <c r="AC52" s="1">
        <v>0</v>
      </c>
      <c r="AD52" s="2">
        <f t="shared" si="2"/>
        <v>0</v>
      </c>
      <c r="AE52">
        <f t="shared" si="3"/>
        <v>0</v>
      </c>
      <c r="AF52" s="1">
        <v>11659</v>
      </c>
      <c r="AG52" s="1">
        <v>1351066</v>
      </c>
      <c r="AH52" s="1">
        <v>5899974</v>
      </c>
      <c r="AI52" s="1">
        <v>1006618</v>
      </c>
      <c r="AJ52" s="1">
        <v>4893356</v>
      </c>
      <c r="AK52" s="1">
        <v>1963751</v>
      </c>
      <c r="AL52" s="1">
        <v>3928020</v>
      </c>
    </row>
    <row r="53" spans="1:38" x14ac:dyDescent="0.2">
      <c r="A53">
        <v>57</v>
      </c>
      <c r="B53" t="s">
        <v>171</v>
      </c>
      <c r="C53" t="s">
        <v>627</v>
      </c>
      <c r="D53" t="s">
        <v>1021</v>
      </c>
      <c r="E53" t="s">
        <v>1189</v>
      </c>
      <c r="F53" t="s">
        <v>1306</v>
      </c>
      <c r="G53" s="7">
        <v>500</v>
      </c>
      <c r="H53" t="str">
        <f t="shared" si="4"/>
        <v>Z</v>
      </c>
      <c r="I53" s="1">
        <v>6604007</v>
      </c>
      <c r="J53" s="1">
        <v>149302</v>
      </c>
      <c r="K53" s="1">
        <v>133683</v>
      </c>
      <c r="L53" s="1">
        <v>132847</v>
      </c>
      <c r="M53" s="1">
        <v>64128</v>
      </c>
      <c r="N53" s="1">
        <v>6185184</v>
      </c>
      <c r="O53" s="2">
        <f t="shared" si="0"/>
        <v>0.93658047303705161</v>
      </c>
      <c r="P53">
        <f t="shared" si="1"/>
        <v>1</v>
      </c>
      <c r="Q53" s="1">
        <v>4016</v>
      </c>
      <c r="R53" s="1">
        <v>389494</v>
      </c>
      <c r="S53" s="1">
        <v>2607272</v>
      </c>
      <c r="T53" s="1">
        <v>691909</v>
      </c>
      <c r="U53" s="1">
        <v>1915363</v>
      </c>
      <c r="V53" s="1">
        <v>1718417</v>
      </c>
      <c r="W53" s="1">
        <v>888855</v>
      </c>
      <c r="X53" s="1">
        <v>4621066</v>
      </c>
      <c r="Y53" s="1">
        <v>49720</v>
      </c>
      <c r="Z53" s="1">
        <v>39853</v>
      </c>
      <c r="AA53" s="1">
        <v>31706</v>
      </c>
      <c r="AB53" s="1">
        <v>46625</v>
      </c>
      <c r="AC53" s="1">
        <v>4299912</v>
      </c>
      <c r="AD53" s="2">
        <f t="shared" si="2"/>
        <v>0.93050218282967612</v>
      </c>
      <c r="AE53">
        <f t="shared" si="3"/>
        <v>1</v>
      </c>
      <c r="AF53" s="1">
        <v>2877</v>
      </c>
      <c r="AG53" s="1">
        <v>470382</v>
      </c>
      <c r="AH53" s="1">
        <v>2702094</v>
      </c>
      <c r="AI53" s="1">
        <v>374059</v>
      </c>
      <c r="AJ53" s="1">
        <v>2328035</v>
      </c>
      <c r="AK53" s="1">
        <v>1580291</v>
      </c>
      <c r="AL53" s="1">
        <v>1121803</v>
      </c>
    </row>
    <row r="54" spans="1:38" x14ac:dyDescent="0.2">
      <c r="A54">
        <v>58</v>
      </c>
      <c r="B54" t="s">
        <v>134</v>
      </c>
      <c r="C54" t="s">
        <v>590</v>
      </c>
      <c r="D54" t="s">
        <v>1006</v>
      </c>
      <c r="E54" t="s">
        <v>1168</v>
      </c>
      <c r="F54" t="s">
        <v>1304</v>
      </c>
      <c r="G54" s="7">
        <v>500</v>
      </c>
      <c r="H54" t="str">
        <f t="shared" si="4"/>
        <v>Z</v>
      </c>
      <c r="I54" s="1">
        <v>6518881</v>
      </c>
      <c r="J54" s="1">
        <v>21651</v>
      </c>
      <c r="K54" s="1">
        <v>35162.028049999994</v>
      </c>
      <c r="L54" s="1">
        <v>30115</v>
      </c>
      <c r="M54" s="1">
        <v>51937</v>
      </c>
      <c r="N54" s="1">
        <v>24106</v>
      </c>
      <c r="O54" s="2">
        <f t="shared" si="0"/>
        <v>3.6978739142500068E-3</v>
      </c>
      <c r="P54">
        <f t="shared" si="1"/>
        <v>0</v>
      </c>
      <c r="Q54" s="1">
        <v>4770</v>
      </c>
      <c r="R54" s="1">
        <v>347068.83184</v>
      </c>
      <c r="S54" s="1">
        <v>1581251.9189500001</v>
      </c>
      <c r="T54" s="1">
        <v>322002.60842</v>
      </c>
      <c r="U54" s="1">
        <v>1259249.3105299999</v>
      </c>
      <c r="V54" s="1">
        <v>259856</v>
      </c>
      <c r="W54" s="1">
        <v>1321395.0941099999</v>
      </c>
      <c r="X54" s="1">
        <v>6908472</v>
      </c>
      <c r="Y54" s="1">
        <v>-223004</v>
      </c>
      <c r="Z54" s="1">
        <v>-226787</v>
      </c>
      <c r="AA54" s="1">
        <v>-250077</v>
      </c>
      <c r="AB54" s="1">
        <v>73534</v>
      </c>
      <c r="AC54" s="1">
        <v>15783</v>
      </c>
      <c r="AD54" s="2">
        <f t="shared" si="2"/>
        <v>2.2845862297770042E-3</v>
      </c>
      <c r="AE54">
        <f t="shared" si="3"/>
        <v>0</v>
      </c>
      <c r="AF54" s="1">
        <v>4320</v>
      </c>
      <c r="AG54" s="1">
        <v>436072</v>
      </c>
      <c r="AH54" s="1">
        <v>1420874</v>
      </c>
      <c r="AI54" s="1">
        <v>437439</v>
      </c>
      <c r="AJ54" s="1">
        <v>983435</v>
      </c>
      <c r="AK54" s="1">
        <v>-74389</v>
      </c>
      <c r="AL54" s="1">
        <v>1495263</v>
      </c>
    </row>
    <row r="55" spans="1:38" x14ac:dyDescent="0.2">
      <c r="A55">
        <v>60</v>
      </c>
      <c r="B55" t="s">
        <v>117</v>
      </c>
      <c r="C55" t="s">
        <v>573</v>
      </c>
      <c r="D55" t="s">
        <v>965</v>
      </c>
      <c r="E55" t="s">
        <v>1122</v>
      </c>
      <c r="F55" t="s">
        <v>1307</v>
      </c>
      <c r="G55" s="7">
        <v>400</v>
      </c>
      <c r="H55" t="str">
        <f t="shared" si="4"/>
        <v>K</v>
      </c>
      <c r="I55" s="1">
        <v>6432477.3344700001</v>
      </c>
      <c r="J55" s="1">
        <v>49308</v>
      </c>
      <c r="K55" s="1">
        <v>66261</v>
      </c>
      <c r="L55" s="1">
        <v>46516</v>
      </c>
      <c r="M55" s="1">
        <v>30770</v>
      </c>
      <c r="N55" s="1">
        <v>0</v>
      </c>
      <c r="O55" s="2">
        <f t="shared" si="0"/>
        <v>0</v>
      </c>
      <c r="P55">
        <f t="shared" si="1"/>
        <v>0</v>
      </c>
      <c r="Q55" s="1">
        <v>3076</v>
      </c>
      <c r="R55" s="1">
        <v>170848</v>
      </c>
      <c r="S55" s="1">
        <v>2578861</v>
      </c>
      <c r="T55" s="1">
        <v>496427</v>
      </c>
      <c r="U55" s="1">
        <v>2082434</v>
      </c>
      <c r="V55" s="1">
        <v>889646</v>
      </c>
      <c r="W55" s="1">
        <v>1689215</v>
      </c>
      <c r="X55" s="1">
        <v>9145586</v>
      </c>
      <c r="Y55" s="1">
        <v>117395</v>
      </c>
      <c r="Z55" s="1">
        <v>201565</v>
      </c>
      <c r="AA55" s="1">
        <v>177145</v>
      </c>
      <c r="AB55" s="1">
        <v>26202</v>
      </c>
      <c r="AC55" s="1">
        <v>0</v>
      </c>
      <c r="AD55" s="2">
        <f t="shared" si="2"/>
        <v>0</v>
      </c>
      <c r="AE55">
        <f t="shared" si="3"/>
        <v>0</v>
      </c>
      <c r="AF55" s="1">
        <v>2779</v>
      </c>
      <c r="AG55" s="1">
        <v>286144</v>
      </c>
      <c r="AH55" s="1">
        <v>3828698</v>
      </c>
      <c r="AI55" s="1">
        <v>561693</v>
      </c>
      <c r="AJ55" s="1">
        <v>3267005</v>
      </c>
      <c r="AK55" s="1">
        <v>1269913</v>
      </c>
      <c r="AL55" s="1">
        <v>2558785</v>
      </c>
    </row>
    <row r="56" spans="1:38" x14ac:dyDescent="0.2">
      <c r="A56">
        <v>63</v>
      </c>
      <c r="B56" t="s">
        <v>128</v>
      </c>
      <c r="C56" t="s">
        <v>584</v>
      </c>
      <c r="D56" t="s">
        <v>997</v>
      </c>
      <c r="E56" t="s">
        <v>1156</v>
      </c>
      <c r="F56" t="s">
        <v>1309</v>
      </c>
      <c r="G56" s="7">
        <v>400</v>
      </c>
      <c r="H56" t="str">
        <f t="shared" si="4"/>
        <v>K</v>
      </c>
      <c r="I56" s="1">
        <v>6364100</v>
      </c>
      <c r="J56" s="1">
        <v>680800</v>
      </c>
      <c r="K56" s="1">
        <v>444700</v>
      </c>
      <c r="L56" s="1">
        <v>354300</v>
      </c>
      <c r="M56" s="1">
        <v>913500</v>
      </c>
      <c r="N56" s="1">
        <v>0</v>
      </c>
      <c r="O56" s="2">
        <f t="shared" si="0"/>
        <v>0</v>
      </c>
      <c r="P56">
        <f t="shared" si="1"/>
        <v>0</v>
      </c>
      <c r="Q56" s="1">
        <v>2634</v>
      </c>
      <c r="R56" s="1">
        <v>303900</v>
      </c>
      <c r="S56" s="1">
        <v>15667900</v>
      </c>
      <c r="T56" s="1">
        <v>12626000</v>
      </c>
      <c r="U56" s="1">
        <v>3041900</v>
      </c>
      <c r="V56" s="1">
        <v>4436600</v>
      </c>
      <c r="W56" s="1">
        <v>11231300</v>
      </c>
      <c r="X56" s="1">
        <v>7395000</v>
      </c>
      <c r="Y56" s="1">
        <v>1216300</v>
      </c>
      <c r="Z56" s="1">
        <v>585300</v>
      </c>
      <c r="AA56" s="1">
        <v>429800</v>
      </c>
      <c r="AB56" s="1">
        <v>576600</v>
      </c>
      <c r="AC56" s="1">
        <v>0</v>
      </c>
      <c r="AD56" s="2">
        <f t="shared" si="2"/>
        <v>0</v>
      </c>
      <c r="AE56">
        <f t="shared" si="3"/>
        <v>0</v>
      </c>
      <c r="AF56" s="1">
        <v>2570</v>
      </c>
      <c r="AG56" s="1">
        <v>392000</v>
      </c>
      <c r="AH56" s="1">
        <v>16364300</v>
      </c>
      <c r="AI56" s="1">
        <v>13128300</v>
      </c>
      <c r="AJ56" s="1">
        <v>3236000</v>
      </c>
      <c r="AK56" s="1">
        <v>5736700</v>
      </c>
      <c r="AL56" s="1">
        <v>10627600</v>
      </c>
    </row>
    <row r="57" spans="1:38" x14ac:dyDescent="0.2">
      <c r="A57">
        <v>64</v>
      </c>
      <c r="B57" t="s">
        <v>95</v>
      </c>
      <c r="C57" t="s">
        <v>551</v>
      </c>
      <c r="D57" t="s">
        <v>990</v>
      </c>
      <c r="E57" t="s">
        <v>1150</v>
      </c>
      <c r="F57" t="s">
        <v>1311</v>
      </c>
      <c r="G57" s="7">
        <v>140</v>
      </c>
      <c r="H57" t="str">
        <f t="shared" si="4"/>
        <v>K</v>
      </c>
      <c r="I57" s="1">
        <v>6355002</v>
      </c>
      <c r="J57" s="1">
        <v>-258851</v>
      </c>
      <c r="K57" s="1">
        <v>-184917</v>
      </c>
      <c r="L57" s="1">
        <v>-203934</v>
      </c>
      <c r="M57" s="1">
        <v>1893078</v>
      </c>
      <c r="N57" s="1">
        <v>0</v>
      </c>
      <c r="O57" s="2">
        <f t="shared" si="0"/>
        <v>0</v>
      </c>
      <c r="P57">
        <f t="shared" si="1"/>
        <v>0</v>
      </c>
      <c r="Q57" s="1">
        <v>40893</v>
      </c>
      <c r="R57" s="1">
        <v>3276013</v>
      </c>
      <c r="S57" s="1">
        <v>79349602</v>
      </c>
      <c r="T57" s="1">
        <v>69132132</v>
      </c>
      <c r="U57" s="1">
        <v>10217470</v>
      </c>
      <c r="V57" s="1">
        <v>14044005</v>
      </c>
      <c r="W57" s="1">
        <v>20535978</v>
      </c>
      <c r="X57" s="1">
        <v>12870963</v>
      </c>
      <c r="Y57" s="1">
        <v>-914159</v>
      </c>
      <c r="Z57" s="1">
        <v>-154446</v>
      </c>
      <c r="AA57" s="1">
        <v>-255230</v>
      </c>
      <c r="AB57" s="1">
        <v>2971685</v>
      </c>
      <c r="AC57" s="1">
        <v>0</v>
      </c>
      <c r="AD57" s="2">
        <f t="shared" si="2"/>
        <v>0</v>
      </c>
      <c r="AE57">
        <f t="shared" si="3"/>
        <v>0</v>
      </c>
      <c r="AF57" s="1">
        <v>40947</v>
      </c>
      <c r="AG57" s="1">
        <v>5585849</v>
      </c>
      <c r="AH57" s="1">
        <v>137926817</v>
      </c>
      <c r="AI57" s="1">
        <v>117913607</v>
      </c>
      <c r="AJ57" s="1">
        <v>20013210</v>
      </c>
      <c r="AK57" s="1">
        <v>29274474</v>
      </c>
      <c r="AL57" s="1">
        <v>108613973</v>
      </c>
    </row>
    <row r="58" spans="1:38" x14ac:dyDescent="0.2">
      <c r="A58">
        <v>65</v>
      </c>
      <c r="B58" t="s">
        <v>123</v>
      </c>
      <c r="C58" t="s">
        <v>579</v>
      </c>
      <c r="D58" t="s">
        <v>971</v>
      </c>
      <c r="E58" t="s">
        <v>1162</v>
      </c>
      <c r="F58" t="s">
        <v>1305</v>
      </c>
      <c r="G58" s="7">
        <v>500</v>
      </c>
      <c r="H58" t="str">
        <f t="shared" si="4"/>
        <v>Z</v>
      </c>
      <c r="I58" s="1">
        <v>6301793.97437</v>
      </c>
      <c r="J58" s="1">
        <v>171132</v>
      </c>
      <c r="K58" s="1">
        <v>169026</v>
      </c>
      <c r="L58" s="1">
        <v>162625</v>
      </c>
      <c r="M58" s="1">
        <v>121134</v>
      </c>
      <c r="N58" s="1">
        <v>5491764</v>
      </c>
      <c r="O58" s="2">
        <f t="shared" si="0"/>
        <v>0.87146041624583892</v>
      </c>
      <c r="P58">
        <f t="shared" si="1"/>
        <v>1</v>
      </c>
      <c r="Q58" s="1">
        <v>1216</v>
      </c>
      <c r="R58" s="1">
        <v>183977</v>
      </c>
      <c r="S58" s="1">
        <v>1585993.62023</v>
      </c>
      <c r="T58" s="1">
        <v>966951.08984000003</v>
      </c>
      <c r="U58" s="1">
        <v>619043</v>
      </c>
      <c r="V58" s="1">
        <v>876204</v>
      </c>
      <c r="W58" s="1">
        <v>709790</v>
      </c>
      <c r="X58" s="1">
        <v>8171067.5890100002</v>
      </c>
      <c r="Y58" s="1">
        <v>184482.66093000001</v>
      </c>
      <c r="Z58" s="1">
        <v>180055.41868999999</v>
      </c>
      <c r="AA58" s="1">
        <v>172292.66279</v>
      </c>
      <c r="AB58" s="1">
        <v>121553</v>
      </c>
      <c r="AC58" s="1">
        <v>6533615.25</v>
      </c>
      <c r="AD58" s="2">
        <f t="shared" si="2"/>
        <v>0.79960362325085199</v>
      </c>
      <c r="AE58">
        <f t="shared" si="3"/>
        <v>1</v>
      </c>
      <c r="AF58" s="1">
        <v>1197</v>
      </c>
      <c r="AG58" s="1">
        <v>263807</v>
      </c>
      <c r="AH58" s="1">
        <v>1517882.0475999999</v>
      </c>
      <c r="AI58" s="1">
        <v>600948.27515</v>
      </c>
      <c r="AJ58" s="1">
        <v>916933.77245000005</v>
      </c>
      <c r="AK58" s="1">
        <v>886134.70102000004</v>
      </c>
      <c r="AL58" s="1">
        <v>631747.34658000001</v>
      </c>
    </row>
    <row r="59" spans="1:38" x14ac:dyDescent="0.2">
      <c r="A59">
        <v>66</v>
      </c>
      <c r="B59" t="s">
        <v>160</v>
      </c>
      <c r="C59" t="s">
        <v>616</v>
      </c>
      <c r="D59" t="s">
        <v>965</v>
      </c>
      <c r="E59" t="s">
        <v>1122</v>
      </c>
      <c r="F59" t="s">
        <v>1306</v>
      </c>
      <c r="G59" s="7">
        <v>400</v>
      </c>
      <c r="H59" t="str">
        <f t="shared" si="4"/>
        <v>K</v>
      </c>
      <c r="I59" s="1">
        <v>6259519</v>
      </c>
      <c r="J59" s="1">
        <v>210298</v>
      </c>
      <c r="K59" s="1">
        <v>-23123</v>
      </c>
      <c r="L59" s="1">
        <v>-96780</v>
      </c>
      <c r="M59" s="1">
        <v>203344</v>
      </c>
      <c r="N59" s="1">
        <v>4054901</v>
      </c>
      <c r="O59" s="2">
        <f t="shared" si="0"/>
        <v>0.64779753843705878</v>
      </c>
      <c r="P59">
        <f t="shared" si="1"/>
        <v>1</v>
      </c>
      <c r="Q59" s="1">
        <v>11154</v>
      </c>
      <c r="R59" s="1">
        <v>892877</v>
      </c>
      <c r="S59" s="1">
        <v>4787390</v>
      </c>
      <c r="T59" s="1">
        <v>2464563</v>
      </c>
      <c r="U59" s="1">
        <v>2322827</v>
      </c>
      <c r="V59" s="1">
        <v>1535057</v>
      </c>
      <c r="W59" s="1">
        <v>3237018</v>
      </c>
      <c r="X59" s="1">
        <v>5116006</v>
      </c>
      <c r="Y59" s="1">
        <v>178500</v>
      </c>
      <c r="Z59" s="1">
        <v>103529</v>
      </c>
      <c r="AA59" s="1">
        <v>120805</v>
      </c>
      <c r="AB59" s="1">
        <v>158668</v>
      </c>
      <c r="AC59" s="1">
        <v>3106593</v>
      </c>
      <c r="AD59" s="2">
        <f t="shared" si="2"/>
        <v>0.60723013225551337</v>
      </c>
      <c r="AE59">
        <f t="shared" si="3"/>
        <v>1</v>
      </c>
      <c r="AF59" s="1">
        <v>7280</v>
      </c>
      <c r="AG59" s="1">
        <v>839058</v>
      </c>
      <c r="AH59" s="1">
        <v>3633569</v>
      </c>
      <c r="AI59" s="1">
        <v>1933438</v>
      </c>
      <c r="AJ59" s="1">
        <v>1700131</v>
      </c>
      <c r="AK59" s="1">
        <v>1621789</v>
      </c>
      <c r="AL59" s="1">
        <v>2011780</v>
      </c>
    </row>
    <row r="60" spans="1:38" x14ac:dyDescent="0.2">
      <c r="A60">
        <v>67</v>
      </c>
      <c r="B60" t="s">
        <v>111</v>
      </c>
      <c r="C60" t="s">
        <v>567</v>
      </c>
      <c r="D60" t="s">
        <v>974</v>
      </c>
      <c r="E60" t="s">
        <v>1131</v>
      </c>
      <c r="F60" t="s">
        <v>1305</v>
      </c>
      <c r="G60" s="7">
        <v>500</v>
      </c>
      <c r="H60" t="str">
        <f t="shared" si="4"/>
        <v>Z</v>
      </c>
      <c r="I60" s="1">
        <v>5727098</v>
      </c>
      <c r="J60" s="1">
        <v>97220</v>
      </c>
      <c r="K60" s="1">
        <v>94988</v>
      </c>
      <c r="L60" s="1">
        <v>66780</v>
      </c>
      <c r="M60" s="1">
        <v>66644</v>
      </c>
      <c r="N60" s="1">
        <v>221507</v>
      </c>
      <c r="O60" s="2">
        <f t="shared" si="0"/>
        <v>3.8677005352449008E-2</v>
      </c>
      <c r="P60">
        <f t="shared" si="1"/>
        <v>0</v>
      </c>
      <c r="Q60" s="1">
        <v>244</v>
      </c>
      <c r="R60" s="1">
        <v>34530</v>
      </c>
      <c r="S60" s="1">
        <v>1479762</v>
      </c>
      <c r="T60" s="1">
        <v>468091</v>
      </c>
      <c r="U60" s="1">
        <v>1011671</v>
      </c>
      <c r="V60" s="1">
        <v>255271</v>
      </c>
      <c r="W60" s="1">
        <v>1224491</v>
      </c>
      <c r="X60" s="1">
        <v>10063286</v>
      </c>
      <c r="Y60" s="1">
        <v>257879</v>
      </c>
      <c r="Z60" s="1">
        <v>357838</v>
      </c>
      <c r="AA60" s="1">
        <v>306633</v>
      </c>
      <c r="AB60" s="1">
        <v>11129</v>
      </c>
      <c r="AC60" s="1">
        <v>169003</v>
      </c>
      <c r="AD60" s="2">
        <f t="shared" si="2"/>
        <v>1.6794017381598813E-2</v>
      </c>
      <c r="AE60">
        <f t="shared" si="3"/>
        <v>0</v>
      </c>
      <c r="AF60" s="1">
        <v>158</v>
      </c>
      <c r="AG60" s="1">
        <v>38969</v>
      </c>
      <c r="AH60" s="1">
        <v>2517162</v>
      </c>
      <c r="AI60" s="1">
        <v>271721</v>
      </c>
      <c r="AJ60" s="1">
        <v>2245441</v>
      </c>
      <c r="AK60" s="1">
        <v>518054</v>
      </c>
      <c r="AL60" s="1">
        <v>1999108</v>
      </c>
    </row>
    <row r="61" spans="1:38" x14ac:dyDescent="0.2">
      <c r="A61">
        <v>68</v>
      </c>
      <c r="B61" t="s">
        <v>122</v>
      </c>
      <c r="C61" t="s">
        <v>578</v>
      </c>
      <c r="D61" t="s">
        <v>984</v>
      </c>
      <c r="E61" t="s">
        <v>1142</v>
      </c>
      <c r="F61" t="s">
        <v>1310</v>
      </c>
      <c r="G61" s="7">
        <v>400</v>
      </c>
      <c r="H61" t="str">
        <f t="shared" si="4"/>
        <v>K</v>
      </c>
      <c r="I61" s="1">
        <v>6247000</v>
      </c>
      <c r="J61" s="1">
        <v>603000</v>
      </c>
      <c r="K61" s="1">
        <v>490000</v>
      </c>
      <c r="L61" s="1">
        <v>397000</v>
      </c>
      <c r="M61" s="1">
        <v>252000</v>
      </c>
      <c r="N61" s="1">
        <v>3964000</v>
      </c>
      <c r="O61" s="2">
        <f t="shared" si="0"/>
        <v>0.63454458139907155</v>
      </c>
      <c r="P61">
        <f t="shared" si="1"/>
        <v>1</v>
      </c>
      <c r="Q61" s="1">
        <v>3239</v>
      </c>
      <c r="R61" s="1">
        <v>398000</v>
      </c>
      <c r="S61" s="1">
        <v>4876000</v>
      </c>
      <c r="T61" s="1">
        <v>3143000</v>
      </c>
      <c r="U61" s="1">
        <v>1733000</v>
      </c>
      <c r="V61" s="1">
        <v>1105000</v>
      </c>
      <c r="W61" s="1">
        <v>3771000</v>
      </c>
      <c r="X61" s="1">
        <v>8623000</v>
      </c>
      <c r="Y61" s="1">
        <v>493000</v>
      </c>
      <c r="Z61" s="1">
        <v>501000</v>
      </c>
      <c r="AA61" s="1">
        <v>435000</v>
      </c>
      <c r="AB61" s="1">
        <v>327000</v>
      </c>
      <c r="AC61" s="1">
        <v>6925000</v>
      </c>
      <c r="AD61" s="2">
        <f t="shared" si="2"/>
        <v>0.80308477328076078</v>
      </c>
      <c r="AE61">
        <f t="shared" si="3"/>
        <v>1</v>
      </c>
      <c r="AF61" s="1">
        <v>3610</v>
      </c>
      <c r="AG61" s="1">
        <v>687000</v>
      </c>
      <c r="AH61" s="1">
        <v>8505000</v>
      </c>
      <c r="AI61" s="1">
        <v>5387000</v>
      </c>
      <c r="AJ61" s="1">
        <v>3118000</v>
      </c>
      <c r="AK61" s="1">
        <v>2881000</v>
      </c>
      <c r="AL61" s="1">
        <v>5598000</v>
      </c>
    </row>
    <row r="62" spans="1:38" x14ac:dyDescent="0.2">
      <c r="A62">
        <v>70</v>
      </c>
      <c r="B62" t="s">
        <v>100</v>
      </c>
      <c r="C62" t="s">
        <v>556</v>
      </c>
      <c r="D62" t="s">
        <v>35</v>
      </c>
      <c r="E62" t="s">
        <v>1154</v>
      </c>
      <c r="F62" t="s">
        <v>1308</v>
      </c>
      <c r="G62" s="7">
        <v>400</v>
      </c>
      <c r="H62" t="str">
        <f t="shared" si="4"/>
        <v>K</v>
      </c>
      <c r="I62" s="1">
        <v>6229363</v>
      </c>
      <c r="J62" s="1">
        <v>219734</v>
      </c>
      <c r="K62" s="1">
        <v>201507</v>
      </c>
      <c r="L62" s="1">
        <v>170621</v>
      </c>
      <c r="M62" s="1">
        <v>135425</v>
      </c>
      <c r="N62" s="1">
        <v>1205803</v>
      </c>
      <c r="O62" s="2">
        <f t="shared" si="0"/>
        <v>0.1935676248117183</v>
      </c>
      <c r="P62">
        <f t="shared" si="1"/>
        <v>0</v>
      </c>
      <c r="Q62" s="1">
        <v>6320</v>
      </c>
      <c r="R62" s="1">
        <v>458935</v>
      </c>
      <c r="S62" s="1">
        <v>3118364</v>
      </c>
      <c r="T62" s="1">
        <v>2009009</v>
      </c>
      <c r="U62" s="1">
        <v>1109355</v>
      </c>
      <c r="V62" s="1">
        <v>1176116</v>
      </c>
      <c r="W62" s="1">
        <v>1669272</v>
      </c>
      <c r="X62" s="1">
        <v>12076164</v>
      </c>
      <c r="Y62" s="1">
        <v>470883</v>
      </c>
      <c r="Z62" s="1">
        <v>411294</v>
      </c>
      <c r="AA62" s="1">
        <v>337274</v>
      </c>
      <c r="AB62" s="1">
        <v>254795</v>
      </c>
      <c r="AC62" s="1">
        <v>9805248</v>
      </c>
      <c r="AD62" s="2">
        <f t="shared" si="2"/>
        <v>0.81195054986003834</v>
      </c>
      <c r="AE62">
        <f t="shared" si="3"/>
        <v>1</v>
      </c>
      <c r="AF62" s="1">
        <v>8014</v>
      </c>
      <c r="AG62" s="1">
        <v>920492</v>
      </c>
      <c r="AH62" s="1">
        <v>4377851</v>
      </c>
      <c r="AI62" s="1">
        <v>2629774</v>
      </c>
      <c r="AJ62" s="1">
        <v>1748077</v>
      </c>
      <c r="AK62" s="1">
        <v>2295487</v>
      </c>
      <c r="AL62" s="1">
        <v>1944793</v>
      </c>
    </row>
    <row r="63" spans="1:38" x14ac:dyDescent="0.2">
      <c r="A63">
        <v>71</v>
      </c>
      <c r="B63" t="s">
        <v>131</v>
      </c>
      <c r="C63" t="s">
        <v>587</v>
      </c>
      <c r="D63" t="s">
        <v>997</v>
      </c>
      <c r="E63" t="s">
        <v>1156</v>
      </c>
      <c r="F63" t="s">
        <v>1309</v>
      </c>
      <c r="G63" s="7">
        <v>500</v>
      </c>
      <c r="H63" t="str">
        <f t="shared" si="4"/>
        <v>Z</v>
      </c>
      <c r="I63" s="1">
        <v>6186821</v>
      </c>
      <c r="J63" s="1">
        <v>329315</v>
      </c>
      <c r="K63" s="1">
        <v>83426</v>
      </c>
      <c r="L63" s="1">
        <v>62122</v>
      </c>
      <c r="M63" s="1">
        <v>1296344</v>
      </c>
      <c r="N63" s="1">
        <v>0</v>
      </c>
      <c r="O63" s="2">
        <f t="shared" si="0"/>
        <v>0</v>
      </c>
      <c r="P63">
        <f t="shared" si="1"/>
        <v>0</v>
      </c>
      <c r="Q63" s="1">
        <v>4747</v>
      </c>
      <c r="R63" s="1">
        <v>590357</v>
      </c>
      <c r="S63" s="1">
        <v>12925516</v>
      </c>
      <c r="T63" s="1">
        <v>10242305</v>
      </c>
      <c r="U63" s="1">
        <v>2683211</v>
      </c>
      <c r="V63" s="1">
        <v>5913736</v>
      </c>
      <c r="W63" s="1">
        <v>7011780</v>
      </c>
      <c r="X63" s="1">
        <v>7117396</v>
      </c>
      <c r="Y63" s="1">
        <v>443841</v>
      </c>
      <c r="Z63" s="1">
        <v>344554</v>
      </c>
      <c r="AA63" s="1">
        <v>270683</v>
      </c>
      <c r="AB63" s="1">
        <v>1790057</v>
      </c>
      <c r="AC63" s="1">
        <v>0</v>
      </c>
      <c r="AD63" s="2">
        <f t="shared" si="2"/>
        <v>0</v>
      </c>
      <c r="AE63">
        <f t="shared" si="3"/>
        <v>0</v>
      </c>
      <c r="AF63" s="1">
        <v>3541</v>
      </c>
      <c r="AG63" s="1">
        <v>696161</v>
      </c>
      <c r="AH63" s="1">
        <v>11751521</v>
      </c>
      <c r="AI63" s="1">
        <v>9264999</v>
      </c>
      <c r="AJ63" s="1">
        <v>2486522</v>
      </c>
      <c r="AK63" s="1">
        <v>7766015</v>
      </c>
      <c r="AL63" s="1">
        <v>3985506</v>
      </c>
    </row>
    <row r="64" spans="1:38" x14ac:dyDescent="0.2">
      <c r="A64">
        <v>72</v>
      </c>
      <c r="B64" t="s">
        <v>114</v>
      </c>
      <c r="C64" t="s">
        <v>570</v>
      </c>
      <c r="D64" t="s">
        <v>999</v>
      </c>
      <c r="E64" t="s">
        <v>1159</v>
      </c>
      <c r="F64" t="s">
        <v>1306</v>
      </c>
      <c r="G64" s="7">
        <v>500</v>
      </c>
      <c r="H64" t="str">
        <f t="shared" si="4"/>
        <v>Z</v>
      </c>
      <c r="I64" s="1">
        <v>6163695</v>
      </c>
      <c r="J64" s="1">
        <v>251692</v>
      </c>
      <c r="K64" s="1">
        <v>217586</v>
      </c>
      <c r="L64" s="1">
        <v>211107</v>
      </c>
      <c r="M64" s="1">
        <v>223623</v>
      </c>
      <c r="N64" s="1">
        <v>4548774</v>
      </c>
      <c r="O64" s="2">
        <f t="shared" si="0"/>
        <v>0.73799466067026354</v>
      </c>
      <c r="P64">
        <f t="shared" si="1"/>
        <v>1</v>
      </c>
      <c r="Q64" s="1">
        <v>5280</v>
      </c>
      <c r="R64" s="1">
        <v>559123</v>
      </c>
      <c r="S64" s="1">
        <v>3313295</v>
      </c>
      <c r="T64" s="1">
        <v>2048556</v>
      </c>
      <c r="U64" s="1">
        <v>1264739</v>
      </c>
      <c r="V64" s="1">
        <v>1290319</v>
      </c>
      <c r="W64" s="1">
        <v>2022976</v>
      </c>
      <c r="X64" s="1">
        <v>9707295</v>
      </c>
      <c r="Y64" s="1">
        <v>501682</v>
      </c>
      <c r="Z64" s="1">
        <v>435843</v>
      </c>
      <c r="AA64" s="1">
        <v>352965</v>
      </c>
      <c r="AB64" s="1">
        <v>341337</v>
      </c>
      <c r="AC64" s="1">
        <v>7258.5</v>
      </c>
      <c r="AD64" s="2">
        <f t="shared" si="2"/>
        <v>7.4773662487850629E-4</v>
      </c>
      <c r="AE64">
        <f t="shared" si="3"/>
        <v>0</v>
      </c>
      <c r="AF64" s="1">
        <v>6034</v>
      </c>
      <c r="AG64" s="1">
        <v>906021</v>
      </c>
      <c r="AH64" s="1">
        <v>4541062</v>
      </c>
      <c r="AI64" s="1">
        <v>2213384</v>
      </c>
      <c r="AJ64" s="1">
        <v>2327678</v>
      </c>
      <c r="AK64" s="1">
        <v>2131803</v>
      </c>
      <c r="AL64" s="1">
        <v>2409259</v>
      </c>
    </row>
    <row r="65" spans="1:38" x14ac:dyDescent="0.2">
      <c r="A65">
        <v>74</v>
      </c>
      <c r="B65" t="s">
        <v>120</v>
      </c>
      <c r="C65" t="s">
        <v>576</v>
      </c>
      <c r="D65" t="s">
        <v>1002</v>
      </c>
      <c r="E65" t="s">
        <v>1163</v>
      </c>
      <c r="F65" t="s">
        <v>1301</v>
      </c>
      <c r="G65" s="7">
        <v>500</v>
      </c>
      <c r="H65" t="str">
        <f t="shared" si="4"/>
        <v>Z</v>
      </c>
      <c r="I65" s="1">
        <v>6002404</v>
      </c>
      <c r="J65" s="1">
        <v>292297</v>
      </c>
      <c r="K65" s="1">
        <v>313394</v>
      </c>
      <c r="L65" s="1">
        <v>238417</v>
      </c>
      <c r="M65" s="1">
        <v>35212</v>
      </c>
      <c r="N65" s="1">
        <v>4657</v>
      </c>
      <c r="O65" s="2">
        <f t="shared" si="0"/>
        <v>7.7585580710661927E-4</v>
      </c>
      <c r="P65">
        <f t="shared" si="1"/>
        <v>0</v>
      </c>
      <c r="Q65" s="1">
        <v>11715</v>
      </c>
      <c r="R65" s="1">
        <v>723499</v>
      </c>
      <c r="S65" s="1">
        <v>2550910</v>
      </c>
      <c r="T65" s="1">
        <v>542604</v>
      </c>
      <c r="U65" s="1">
        <v>2008306</v>
      </c>
      <c r="V65" s="1">
        <v>665112</v>
      </c>
      <c r="W65" s="1">
        <v>1885799</v>
      </c>
      <c r="X65" s="1">
        <v>8679888</v>
      </c>
      <c r="Y65" s="1">
        <v>111677</v>
      </c>
      <c r="Z65" s="1">
        <v>145711</v>
      </c>
      <c r="AA65" s="1">
        <v>117945</v>
      </c>
      <c r="AB65" s="1">
        <v>57973</v>
      </c>
      <c r="AC65" s="1">
        <v>11649</v>
      </c>
      <c r="AD65" s="2">
        <f t="shared" si="2"/>
        <v>1.3420680082507977E-3</v>
      </c>
      <c r="AE65">
        <f t="shared" si="3"/>
        <v>0</v>
      </c>
      <c r="AF65" s="1">
        <v>12699</v>
      </c>
      <c r="AG65" s="1">
        <v>1168270</v>
      </c>
      <c r="AH65" s="1">
        <v>2567137</v>
      </c>
      <c r="AI65" s="1">
        <v>703774</v>
      </c>
      <c r="AJ65" s="1">
        <v>1863363</v>
      </c>
      <c r="AK65" s="1">
        <v>650545</v>
      </c>
      <c r="AL65" s="1">
        <v>1916592</v>
      </c>
    </row>
    <row r="66" spans="1:38" x14ac:dyDescent="0.2">
      <c r="A66">
        <v>75</v>
      </c>
      <c r="B66" t="s">
        <v>71</v>
      </c>
      <c r="C66" t="s">
        <v>527</v>
      </c>
      <c r="D66" t="s">
        <v>974</v>
      </c>
      <c r="E66" t="s">
        <v>1131</v>
      </c>
      <c r="F66" t="s">
        <v>1305</v>
      </c>
      <c r="G66" s="7">
        <v>500</v>
      </c>
      <c r="H66" t="str">
        <f t="shared" si="4"/>
        <v>Z</v>
      </c>
      <c r="I66" s="1">
        <v>5998015</v>
      </c>
      <c r="J66" s="1">
        <v>54239</v>
      </c>
      <c r="K66" s="1">
        <v>6558</v>
      </c>
      <c r="L66" s="1">
        <v>830</v>
      </c>
      <c r="M66" s="1">
        <v>2083</v>
      </c>
      <c r="N66" s="1">
        <v>2468</v>
      </c>
      <c r="O66" s="2">
        <f t="shared" ref="O66:O129" si="5">IF(I66=0,0,N66/I66)</f>
        <v>4.1146946114672939E-4</v>
      </c>
      <c r="P66">
        <f t="shared" ref="P66:P129" si="6">IF(O66&gt;50%,1,0)</f>
        <v>0</v>
      </c>
      <c r="Q66" s="1">
        <v>109</v>
      </c>
      <c r="R66" s="1">
        <v>30256</v>
      </c>
      <c r="S66" s="1">
        <v>2226491</v>
      </c>
      <c r="T66" s="1">
        <v>40236</v>
      </c>
      <c r="U66" s="1">
        <v>2186255</v>
      </c>
      <c r="V66" s="1">
        <v>22698</v>
      </c>
      <c r="W66" s="1">
        <v>2203793</v>
      </c>
      <c r="X66" s="1">
        <v>21415542</v>
      </c>
      <c r="Y66" s="1">
        <v>473368</v>
      </c>
      <c r="Z66" s="1">
        <v>234645</v>
      </c>
      <c r="AA66" s="1">
        <v>171900</v>
      </c>
      <c r="AB66" s="1">
        <v>11470</v>
      </c>
      <c r="AC66" s="1">
        <v>5476953</v>
      </c>
      <c r="AD66" s="2">
        <f t="shared" ref="AD66:AD129" si="7">IF(X66=0,0,AC66/X66)</f>
        <v>0.25574664418953302</v>
      </c>
      <c r="AE66">
        <f t="shared" ref="AE66:AE129" si="8">IF(AD66&gt;50%,1,0)</f>
        <v>0</v>
      </c>
      <c r="AF66" s="1">
        <v>107</v>
      </c>
      <c r="AG66" s="1">
        <v>36655</v>
      </c>
      <c r="AH66" s="1">
        <v>7317211</v>
      </c>
      <c r="AI66" s="1">
        <v>155090</v>
      </c>
      <c r="AJ66" s="1">
        <v>7162121</v>
      </c>
      <c r="AK66" s="1">
        <v>193768</v>
      </c>
      <c r="AL66" s="1">
        <v>7123443</v>
      </c>
    </row>
    <row r="67" spans="1:38" x14ac:dyDescent="0.2">
      <c r="A67">
        <v>76</v>
      </c>
      <c r="B67" t="s">
        <v>108</v>
      </c>
      <c r="C67" t="s">
        <v>564</v>
      </c>
      <c r="D67" t="s">
        <v>996</v>
      </c>
      <c r="E67" t="s">
        <v>1133</v>
      </c>
      <c r="F67" t="s">
        <v>1306</v>
      </c>
      <c r="G67" s="7">
        <v>400</v>
      </c>
      <c r="H67" t="str">
        <f t="shared" ref="H67:H130" si="9">IF(G67&lt;500,"K","Z")</f>
        <v>K</v>
      </c>
      <c r="I67" s="1">
        <v>5402900</v>
      </c>
      <c r="J67" s="1">
        <v>207100</v>
      </c>
      <c r="K67" s="1">
        <v>27600</v>
      </c>
      <c r="L67" s="1">
        <v>-27500</v>
      </c>
      <c r="M67" s="1">
        <v>716300</v>
      </c>
      <c r="N67" s="1">
        <v>2561200</v>
      </c>
      <c r="O67" s="2">
        <f t="shared" si="5"/>
        <v>0.47404171833644893</v>
      </c>
      <c r="P67">
        <f t="shared" si="6"/>
        <v>0</v>
      </c>
      <c r="Q67" s="1">
        <v>12984</v>
      </c>
      <c r="R67" s="1">
        <v>914100</v>
      </c>
      <c r="S67" s="1">
        <v>7143700</v>
      </c>
      <c r="T67" s="1">
        <v>4210500</v>
      </c>
      <c r="U67" s="1">
        <v>2933200</v>
      </c>
      <c r="V67" s="1">
        <v>1089600</v>
      </c>
      <c r="W67" s="1">
        <v>6054100</v>
      </c>
      <c r="X67" s="1">
        <v>10302800</v>
      </c>
      <c r="Y67" s="1">
        <v>1035600</v>
      </c>
      <c r="Z67" s="1">
        <v>918700</v>
      </c>
      <c r="AA67" s="1">
        <v>1023200</v>
      </c>
      <c r="AB67" s="1">
        <v>599100</v>
      </c>
      <c r="AC67" s="1">
        <v>4415400</v>
      </c>
      <c r="AD67" s="2">
        <f t="shared" si="7"/>
        <v>0.42856310905773187</v>
      </c>
      <c r="AE67">
        <f t="shared" si="8"/>
        <v>0</v>
      </c>
      <c r="AF67" s="1">
        <v>15478</v>
      </c>
      <c r="AG67" s="1">
        <v>1094800</v>
      </c>
      <c r="AH67" s="1">
        <v>9051900</v>
      </c>
      <c r="AI67" s="1">
        <v>4345700</v>
      </c>
      <c r="AJ67" s="1">
        <v>4706200</v>
      </c>
      <c r="AK67" s="1">
        <v>1935900</v>
      </c>
      <c r="AL67" s="1">
        <v>7116000</v>
      </c>
    </row>
    <row r="68" spans="1:38" x14ac:dyDescent="0.2">
      <c r="A68">
        <v>77</v>
      </c>
      <c r="B68" t="s">
        <v>491</v>
      </c>
      <c r="C68" t="s">
        <v>509</v>
      </c>
      <c r="D68" t="s">
        <v>969</v>
      </c>
      <c r="E68" t="s">
        <v>1126</v>
      </c>
      <c r="F68" t="s">
        <v>1301</v>
      </c>
      <c r="G68" s="7">
        <v>500</v>
      </c>
      <c r="H68" t="str">
        <f t="shared" si="9"/>
        <v>Z</v>
      </c>
      <c r="I68" s="1">
        <v>5728940.4890000001</v>
      </c>
      <c r="J68" s="1">
        <v>619752.40399999998</v>
      </c>
      <c r="K68" s="1">
        <v>617491.86</v>
      </c>
      <c r="L68" s="1">
        <v>493450.85399999999</v>
      </c>
      <c r="M68" s="1">
        <v>72627.432000000001</v>
      </c>
      <c r="N68" s="1">
        <v>2228414</v>
      </c>
      <c r="O68" s="2">
        <f t="shared" si="5"/>
        <v>0.3889748906065133</v>
      </c>
      <c r="P68">
        <f t="shared" si="6"/>
        <v>0</v>
      </c>
      <c r="Q68" s="1">
        <v>9450</v>
      </c>
      <c r="R68" s="1">
        <v>595345.54399999999</v>
      </c>
      <c r="S68" s="1">
        <v>2394895.2820000001</v>
      </c>
      <c r="T68" s="1">
        <v>424554.45199999999</v>
      </c>
      <c r="U68" s="1">
        <v>1970340.83</v>
      </c>
      <c r="V68" s="1">
        <v>1351490.5460000001</v>
      </c>
      <c r="W68" s="1">
        <v>1043404.736</v>
      </c>
      <c r="X68" s="1">
        <v>12084611</v>
      </c>
      <c r="Y68" s="1">
        <v>587625</v>
      </c>
      <c r="Z68" s="1">
        <v>676028</v>
      </c>
      <c r="AA68" s="1">
        <v>513203</v>
      </c>
      <c r="AB68" s="1">
        <v>151489.9</v>
      </c>
      <c r="AC68" s="1">
        <v>6402404</v>
      </c>
      <c r="AD68" s="2">
        <f t="shared" si="7"/>
        <v>0.52979810438250763</v>
      </c>
      <c r="AE68">
        <f t="shared" si="8"/>
        <v>1</v>
      </c>
      <c r="AF68" s="1">
        <v>10745</v>
      </c>
      <c r="AG68" s="1">
        <v>918252</v>
      </c>
      <c r="AH68" s="1">
        <v>5606049</v>
      </c>
      <c r="AI68" s="1">
        <v>805315</v>
      </c>
      <c r="AJ68" s="1">
        <v>4800734</v>
      </c>
      <c r="AK68" s="1">
        <v>1593081</v>
      </c>
      <c r="AL68" s="1">
        <v>4012971</v>
      </c>
    </row>
    <row r="69" spans="1:38" x14ac:dyDescent="0.2">
      <c r="A69">
        <v>78</v>
      </c>
      <c r="B69" t="s">
        <v>106</v>
      </c>
      <c r="C69" t="s">
        <v>562</v>
      </c>
      <c r="D69" t="s">
        <v>994</v>
      </c>
      <c r="E69" t="s">
        <v>1139</v>
      </c>
      <c r="F69" t="s">
        <v>1300</v>
      </c>
      <c r="G69" s="7">
        <v>500</v>
      </c>
      <c r="H69" t="str">
        <f t="shared" si="9"/>
        <v>Z</v>
      </c>
      <c r="I69" s="1">
        <v>5600043.7999999998</v>
      </c>
      <c r="J69" s="1">
        <v>166077.4</v>
      </c>
      <c r="K69" s="1">
        <v>134854</v>
      </c>
      <c r="L69" s="1">
        <v>109048.1</v>
      </c>
      <c r="M69" s="1">
        <v>165249.9</v>
      </c>
      <c r="N69" s="1">
        <v>0</v>
      </c>
      <c r="O69" s="2">
        <f t="shared" si="5"/>
        <v>0</v>
      </c>
      <c r="P69">
        <f t="shared" si="6"/>
        <v>0</v>
      </c>
      <c r="Q69" s="1">
        <v>3635</v>
      </c>
      <c r="R69" s="1">
        <v>583253</v>
      </c>
      <c r="S69" s="1">
        <v>3817404.2</v>
      </c>
      <c r="T69" s="1">
        <v>2318350</v>
      </c>
      <c r="U69" s="1">
        <v>1492556.6</v>
      </c>
      <c r="V69" s="1">
        <v>1933901.4</v>
      </c>
      <c r="W69" s="1">
        <v>1883503</v>
      </c>
      <c r="X69" s="1">
        <v>10110094</v>
      </c>
      <c r="Y69" s="1">
        <v>57451</v>
      </c>
      <c r="Z69" s="1">
        <v>31107</v>
      </c>
      <c r="AA69" s="1">
        <v>26368</v>
      </c>
      <c r="AB69" s="1">
        <v>-233743</v>
      </c>
      <c r="AC69" s="1">
        <v>1975225</v>
      </c>
      <c r="AD69" s="2">
        <f t="shared" si="7"/>
        <v>0.19537157616932146</v>
      </c>
      <c r="AE69">
        <f t="shared" si="8"/>
        <v>0</v>
      </c>
      <c r="AF69" s="1">
        <v>4986</v>
      </c>
      <c r="AG69" s="1">
        <v>1440084</v>
      </c>
      <c r="AH69" s="1">
        <v>6133471</v>
      </c>
      <c r="AI69" s="1">
        <v>2796969</v>
      </c>
      <c r="AJ69" s="1">
        <v>1208540</v>
      </c>
      <c r="AK69" s="1">
        <v>1877547</v>
      </c>
      <c r="AL69" s="1">
        <v>2127962</v>
      </c>
    </row>
    <row r="70" spans="1:38" x14ac:dyDescent="0.2">
      <c r="A70">
        <v>79</v>
      </c>
      <c r="B70" t="s">
        <v>150</v>
      </c>
      <c r="C70" t="s">
        <v>606</v>
      </c>
      <c r="D70" t="s">
        <v>48</v>
      </c>
      <c r="E70" t="s">
        <v>1145</v>
      </c>
      <c r="F70" t="s">
        <v>1308</v>
      </c>
      <c r="G70" s="7">
        <v>500</v>
      </c>
      <c r="H70" t="str">
        <f t="shared" si="9"/>
        <v>Z</v>
      </c>
      <c r="I70" s="1">
        <v>5514002</v>
      </c>
      <c r="J70" s="1">
        <v>168668</v>
      </c>
      <c r="K70" s="1">
        <v>142802</v>
      </c>
      <c r="L70" s="1">
        <v>113872</v>
      </c>
      <c r="M70" s="1">
        <v>84713</v>
      </c>
      <c r="N70" s="1">
        <v>61805</v>
      </c>
      <c r="O70" s="2">
        <f t="shared" si="5"/>
        <v>1.1208737320008226E-2</v>
      </c>
      <c r="P70">
        <f t="shared" si="6"/>
        <v>0</v>
      </c>
      <c r="Q70" s="1">
        <v>1338</v>
      </c>
      <c r="R70" s="1">
        <v>169012</v>
      </c>
      <c r="S70" s="1">
        <v>2489610</v>
      </c>
      <c r="T70" s="1">
        <v>996021</v>
      </c>
      <c r="U70" s="1">
        <v>1493589</v>
      </c>
      <c r="V70" s="1">
        <v>1028473</v>
      </c>
      <c r="W70" s="1">
        <v>1461137</v>
      </c>
      <c r="X70" s="1">
        <v>5662098</v>
      </c>
      <c r="Y70" s="1">
        <v>228560</v>
      </c>
      <c r="Z70" s="1">
        <v>254562</v>
      </c>
      <c r="AA70" s="1">
        <v>206466</v>
      </c>
      <c r="AB70" s="1">
        <v>84454</v>
      </c>
      <c r="AC70" s="1">
        <v>71038</v>
      </c>
      <c r="AD70" s="2">
        <f t="shared" si="7"/>
        <v>1.2546232862801033E-2</v>
      </c>
      <c r="AE70">
        <f t="shared" si="8"/>
        <v>0</v>
      </c>
      <c r="AF70" s="1">
        <v>1294</v>
      </c>
      <c r="AG70" s="1">
        <v>209300</v>
      </c>
      <c r="AH70" s="1">
        <v>2762747</v>
      </c>
      <c r="AI70" s="1">
        <v>815879</v>
      </c>
      <c r="AJ70" s="1">
        <v>1946868</v>
      </c>
      <c r="AK70" s="1">
        <v>1675681</v>
      </c>
      <c r="AL70" s="1">
        <v>1087066</v>
      </c>
    </row>
    <row r="71" spans="1:38" x14ac:dyDescent="0.2">
      <c r="A71">
        <v>81</v>
      </c>
      <c r="B71" t="s">
        <v>126</v>
      </c>
      <c r="C71" t="s">
        <v>582</v>
      </c>
      <c r="D71" t="s">
        <v>994</v>
      </c>
      <c r="E71" t="s">
        <v>1139</v>
      </c>
      <c r="F71" t="s">
        <v>1300</v>
      </c>
      <c r="G71" s="7">
        <v>500</v>
      </c>
      <c r="H71" t="str">
        <f t="shared" si="9"/>
        <v>Z</v>
      </c>
      <c r="I71" s="1">
        <v>5373903</v>
      </c>
      <c r="J71" s="1">
        <v>136877</v>
      </c>
      <c r="K71" s="1">
        <v>121543</v>
      </c>
      <c r="L71" s="1">
        <v>88113</v>
      </c>
      <c r="M71" s="1">
        <v>60422</v>
      </c>
      <c r="N71" s="1">
        <v>2114</v>
      </c>
      <c r="O71" s="2">
        <f t="shared" si="5"/>
        <v>3.9338261222802122E-4</v>
      </c>
      <c r="P71">
        <f t="shared" si="6"/>
        <v>0</v>
      </c>
      <c r="Q71" s="1">
        <v>2216</v>
      </c>
      <c r="R71" s="1">
        <v>126697</v>
      </c>
      <c r="S71" s="1">
        <v>1552524</v>
      </c>
      <c r="T71" s="1">
        <v>1083344</v>
      </c>
      <c r="U71" s="1">
        <v>469180</v>
      </c>
      <c r="V71" s="1">
        <v>851383</v>
      </c>
      <c r="W71" s="1">
        <v>701141</v>
      </c>
      <c r="X71" s="1">
        <v>7667208</v>
      </c>
      <c r="Y71" s="1">
        <v>16751</v>
      </c>
      <c r="Z71" s="1">
        <v>-3188</v>
      </c>
      <c r="AA71" s="1">
        <v>1762</v>
      </c>
      <c r="AB71" s="1">
        <v>83254</v>
      </c>
      <c r="AC71" s="1">
        <v>6565</v>
      </c>
      <c r="AD71" s="2">
        <f t="shared" si="7"/>
        <v>8.562438895618849E-4</v>
      </c>
      <c r="AE71">
        <f t="shared" si="8"/>
        <v>0</v>
      </c>
      <c r="AF71" s="1">
        <v>1859</v>
      </c>
      <c r="AG71" s="1">
        <v>167245</v>
      </c>
      <c r="AH71" s="1">
        <v>1890304</v>
      </c>
      <c r="AI71" s="1">
        <v>1158415</v>
      </c>
      <c r="AJ71" s="1">
        <v>731889</v>
      </c>
      <c r="AK71" s="1">
        <v>951511</v>
      </c>
      <c r="AL71" s="1">
        <v>938793</v>
      </c>
    </row>
    <row r="72" spans="1:38" x14ac:dyDescent="0.2">
      <c r="A72">
        <v>82</v>
      </c>
      <c r="B72" t="s">
        <v>132</v>
      </c>
      <c r="C72" t="s">
        <v>588</v>
      </c>
      <c r="D72" t="s">
        <v>992</v>
      </c>
      <c r="E72" t="s">
        <v>1152</v>
      </c>
      <c r="F72" t="s">
        <v>1307</v>
      </c>
      <c r="G72" s="7">
        <v>400</v>
      </c>
      <c r="H72" t="str">
        <f t="shared" si="9"/>
        <v>K</v>
      </c>
      <c r="I72" s="1">
        <v>5265360</v>
      </c>
      <c r="J72" s="1">
        <v>7316</v>
      </c>
      <c r="K72" s="1">
        <v>-9956</v>
      </c>
      <c r="L72" s="1">
        <v>-13395</v>
      </c>
      <c r="M72" s="1">
        <v>24622</v>
      </c>
      <c r="N72" s="1">
        <v>0</v>
      </c>
      <c r="O72" s="2">
        <f t="shared" si="5"/>
        <v>0</v>
      </c>
      <c r="P72">
        <f t="shared" si="6"/>
        <v>0</v>
      </c>
      <c r="Q72" s="1">
        <v>2262</v>
      </c>
      <c r="R72" s="1">
        <v>143607</v>
      </c>
      <c r="S72" s="1">
        <v>2208506</v>
      </c>
      <c r="T72" s="1">
        <v>644568</v>
      </c>
      <c r="U72" s="1">
        <v>1563938</v>
      </c>
      <c r="V72" s="1">
        <v>232296</v>
      </c>
      <c r="W72" s="1">
        <v>1976210</v>
      </c>
      <c r="X72" s="1">
        <v>7086282</v>
      </c>
      <c r="Y72" s="1">
        <v>27265</v>
      </c>
      <c r="Z72" s="1">
        <v>-15191</v>
      </c>
      <c r="AA72" s="1">
        <v>-19187</v>
      </c>
      <c r="AB72" s="1">
        <v>41390</v>
      </c>
      <c r="AC72" s="1">
        <v>0</v>
      </c>
      <c r="AD72" s="2">
        <f t="shared" si="7"/>
        <v>0</v>
      </c>
      <c r="AE72">
        <f t="shared" si="8"/>
        <v>0</v>
      </c>
      <c r="AF72" s="1">
        <v>1843</v>
      </c>
      <c r="AG72" s="1">
        <v>184245</v>
      </c>
      <c r="AH72" s="1">
        <v>2282210</v>
      </c>
      <c r="AI72" s="1">
        <v>712659</v>
      </c>
      <c r="AJ72" s="1">
        <v>1569551</v>
      </c>
      <c r="AK72" s="1">
        <v>227842</v>
      </c>
      <c r="AL72" s="1">
        <v>2049773</v>
      </c>
    </row>
    <row r="73" spans="1:38" x14ac:dyDescent="0.2">
      <c r="A73">
        <v>83</v>
      </c>
      <c r="B73" t="s">
        <v>145</v>
      </c>
      <c r="C73" t="s">
        <v>601</v>
      </c>
      <c r="D73" t="s">
        <v>999</v>
      </c>
      <c r="E73" t="s">
        <v>1159</v>
      </c>
      <c r="F73" t="s">
        <v>1306</v>
      </c>
      <c r="G73" s="7">
        <v>500</v>
      </c>
      <c r="H73" t="str">
        <f t="shared" si="9"/>
        <v>Z</v>
      </c>
      <c r="I73" s="1">
        <v>5221924</v>
      </c>
      <c r="J73" s="1">
        <v>116389</v>
      </c>
      <c r="K73" s="1">
        <v>91272</v>
      </c>
      <c r="L73" s="1">
        <v>104672</v>
      </c>
      <c r="M73" s="1">
        <v>156557</v>
      </c>
      <c r="N73" s="1">
        <v>3641412</v>
      </c>
      <c r="O73" s="2">
        <f t="shared" si="5"/>
        <v>0.69733148165312253</v>
      </c>
      <c r="P73">
        <f t="shared" si="6"/>
        <v>1</v>
      </c>
      <c r="Q73" s="1">
        <v>5529</v>
      </c>
      <c r="R73" s="1">
        <v>435398.94390999997</v>
      </c>
      <c r="S73" s="1">
        <v>3739453</v>
      </c>
      <c r="T73" s="1">
        <v>1238841</v>
      </c>
      <c r="U73" s="1">
        <v>2500612</v>
      </c>
      <c r="V73" s="1">
        <v>575328</v>
      </c>
      <c r="W73" s="1">
        <v>3164125.26505</v>
      </c>
      <c r="X73" s="1">
        <v>5939320.9733100003</v>
      </c>
      <c r="Y73" s="1">
        <v>171015.21361000001</v>
      </c>
      <c r="Z73" s="1">
        <v>153504.20791999999</v>
      </c>
      <c r="AA73" s="1">
        <v>140971.11892000001</v>
      </c>
      <c r="AB73" s="1">
        <v>174410.34521</v>
      </c>
      <c r="AC73" s="1">
        <v>4292141</v>
      </c>
      <c r="AD73" s="2">
        <f t="shared" si="7"/>
        <v>0.72266527087657595</v>
      </c>
      <c r="AE73">
        <f t="shared" si="8"/>
        <v>1</v>
      </c>
      <c r="AF73" s="1">
        <v>5262</v>
      </c>
      <c r="AG73" s="1">
        <v>687907.13203999994</v>
      </c>
      <c r="AH73" s="1">
        <v>3345988.04483</v>
      </c>
      <c r="AI73" s="1">
        <v>1583054.84473</v>
      </c>
      <c r="AJ73" s="1">
        <v>1762933.2001</v>
      </c>
      <c r="AK73" s="1">
        <v>1145394.00877</v>
      </c>
      <c r="AL73" s="1">
        <v>2200594.0360599998</v>
      </c>
    </row>
    <row r="74" spans="1:38" x14ac:dyDescent="0.2">
      <c r="A74">
        <v>84</v>
      </c>
      <c r="B74" t="s">
        <v>110</v>
      </c>
      <c r="C74" t="s">
        <v>566</v>
      </c>
      <c r="D74" t="s">
        <v>39</v>
      </c>
      <c r="E74" t="s">
        <v>1157</v>
      </c>
      <c r="F74" t="s">
        <v>1308</v>
      </c>
      <c r="G74" s="7">
        <v>400</v>
      </c>
      <c r="H74" t="str">
        <f t="shared" si="9"/>
        <v>K</v>
      </c>
      <c r="I74" s="1">
        <v>5182216</v>
      </c>
      <c r="J74" s="1">
        <v>47754</v>
      </c>
      <c r="K74" s="1">
        <v>52737</v>
      </c>
      <c r="L74" s="1">
        <v>42015</v>
      </c>
      <c r="M74" s="1">
        <v>96878</v>
      </c>
      <c r="N74" s="1">
        <v>1565453</v>
      </c>
      <c r="O74" s="2">
        <f t="shared" si="5"/>
        <v>0.3020817735115634</v>
      </c>
      <c r="P74">
        <f t="shared" si="6"/>
        <v>0</v>
      </c>
      <c r="Q74" s="1">
        <v>3587</v>
      </c>
      <c r="R74" s="1">
        <v>336431.76367000001</v>
      </c>
      <c r="S74" s="1">
        <v>1805480</v>
      </c>
      <c r="T74" s="1">
        <v>669757</v>
      </c>
      <c r="U74" s="1">
        <v>1135723</v>
      </c>
      <c r="V74" s="1">
        <v>962457</v>
      </c>
      <c r="W74" s="1">
        <v>843023.4929500001</v>
      </c>
      <c r="X74" s="1">
        <v>10100308</v>
      </c>
      <c r="Y74" s="1">
        <v>118050</v>
      </c>
      <c r="Z74" s="1">
        <v>154637</v>
      </c>
      <c r="AA74" s="1">
        <v>125824</v>
      </c>
      <c r="AB74" s="1">
        <v>97146</v>
      </c>
      <c r="AC74" s="1">
        <v>1861946</v>
      </c>
      <c r="AD74" s="2">
        <f t="shared" si="7"/>
        <v>0.18434546748475392</v>
      </c>
      <c r="AE74">
        <f t="shared" si="8"/>
        <v>0</v>
      </c>
      <c r="AF74" s="1">
        <v>4201</v>
      </c>
      <c r="AG74" s="1">
        <v>600789</v>
      </c>
      <c r="AH74" s="1">
        <v>2908306</v>
      </c>
      <c r="AI74" s="1">
        <v>838457</v>
      </c>
      <c r="AJ74" s="1">
        <v>2069849</v>
      </c>
      <c r="AK74" s="1">
        <v>1575394</v>
      </c>
      <c r="AL74" s="1">
        <v>1332913</v>
      </c>
    </row>
    <row r="75" spans="1:38" x14ac:dyDescent="0.2">
      <c r="A75">
        <v>85</v>
      </c>
      <c r="B75" t="s">
        <v>166</v>
      </c>
      <c r="C75" t="s">
        <v>622</v>
      </c>
      <c r="D75" t="s">
        <v>999</v>
      </c>
      <c r="E75" t="s">
        <v>1159</v>
      </c>
      <c r="F75" t="s">
        <v>1306</v>
      </c>
      <c r="G75" s="7">
        <v>500</v>
      </c>
      <c r="H75" t="str">
        <f t="shared" si="9"/>
        <v>Z</v>
      </c>
      <c r="I75" s="1">
        <v>5082847</v>
      </c>
      <c r="J75" s="1">
        <v>189946</v>
      </c>
      <c r="K75" s="1">
        <v>196887</v>
      </c>
      <c r="L75" s="1">
        <v>199442</v>
      </c>
      <c r="M75" s="1">
        <v>190145</v>
      </c>
      <c r="N75" s="1">
        <v>4452451</v>
      </c>
      <c r="O75" s="2">
        <f t="shared" si="5"/>
        <v>0.87597580647223894</v>
      </c>
      <c r="P75">
        <f t="shared" si="6"/>
        <v>1</v>
      </c>
      <c r="Q75" s="1">
        <v>5028</v>
      </c>
      <c r="R75" s="1">
        <v>415983</v>
      </c>
      <c r="S75" s="1">
        <v>3523532</v>
      </c>
      <c r="T75" s="1">
        <v>1922175</v>
      </c>
      <c r="U75" s="1">
        <v>1601357</v>
      </c>
      <c r="V75" s="1">
        <v>1033422</v>
      </c>
      <c r="W75" s="1">
        <v>2182311</v>
      </c>
      <c r="X75" s="1">
        <v>4887771</v>
      </c>
      <c r="Y75" s="1">
        <v>-314476</v>
      </c>
      <c r="Z75" s="1">
        <v>-294567</v>
      </c>
      <c r="AA75" s="1">
        <v>-249833</v>
      </c>
      <c r="AB75" s="1">
        <v>198747</v>
      </c>
      <c r="AC75" s="1">
        <v>4555977</v>
      </c>
      <c r="AD75" s="2">
        <f t="shared" si="7"/>
        <v>0.93211752350918242</v>
      </c>
      <c r="AE75">
        <f t="shared" si="8"/>
        <v>1</v>
      </c>
      <c r="AF75" s="1">
        <v>4024</v>
      </c>
      <c r="AG75" s="1">
        <v>472075</v>
      </c>
      <c r="AH75" s="1">
        <v>2726804</v>
      </c>
      <c r="AI75" s="1">
        <v>1435499</v>
      </c>
      <c r="AJ75" s="1">
        <v>1291305</v>
      </c>
      <c r="AK75" s="1">
        <v>349181</v>
      </c>
      <c r="AL75" s="1">
        <v>2377623</v>
      </c>
    </row>
    <row r="76" spans="1:38" x14ac:dyDescent="0.2">
      <c r="A76">
        <v>86</v>
      </c>
      <c r="B76" t="s">
        <v>125</v>
      </c>
      <c r="C76" t="s">
        <v>581</v>
      </c>
      <c r="D76" t="s">
        <v>40</v>
      </c>
      <c r="E76" t="s">
        <v>1165</v>
      </c>
      <c r="F76" t="s">
        <v>1308</v>
      </c>
      <c r="G76" s="7">
        <v>500</v>
      </c>
      <c r="H76" t="str">
        <f t="shared" si="9"/>
        <v>Z</v>
      </c>
      <c r="I76" s="1">
        <v>5059415</v>
      </c>
      <c r="J76" s="1">
        <v>53752</v>
      </c>
      <c r="K76" s="1">
        <v>51401</v>
      </c>
      <c r="L76" s="1">
        <v>28904</v>
      </c>
      <c r="M76" s="1">
        <v>65878</v>
      </c>
      <c r="N76" s="1">
        <v>693390</v>
      </c>
      <c r="O76" s="2">
        <f t="shared" si="5"/>
        <v>0.13704944148681222</v>
      </c>
      <c r="P76">
        <f t="shared" si="6"/>
        <v>0</v>
      </c>
      <c r="Q76" s="1">
        <v>1700</v>
      </c>
      <c r="R76" s="1">
        <v>198786</v>
      </c>
      <c r="S76" s="1">
        <v>1645737</v>
      </c>
      <c r="T76" s="1">
        <v>637870</v>
      </c>
      <c r="U76" s="1">
        <v>1007867</v>
      </c>
      <c r="V76" s="1">
        <v>1126825</v>
      </c>
      <c r="W76" s="1">
        <v>518912</v>
      </c>
      <c r="X76" s="1">
        <v>7924501</v>
      </c>
      <c r="Y76" s="1">
        <v>343524</v>
      </c>
      <c r="Z76" s="1">
        <v>290189</v>
      </c>
      <c r="AA76" s="1">
        <v>228912</v>
      </c>
      <c r="AB76" s="1">
        <v>92484</v>
      </c>
      <c r="AC76" s="1">
        <v>858920</v>
      </c>
      <c r="AD76" s="2">
        <f t="shared" si="7"/>
        <v>0.10838789723163642</v>
      </c>
      <c r="AE76">
        <f t="shared" si="8"/>
        <v>0</v>
      </c>
      <c r="AF76" s="1">
        <v>1532</v>
      </c>
      <c r="AG76" s="1">
        <v>298825</v>
      </c>
      <c r="AH76" s="1">
        <v>2505531</v>
      </c>
      <c r="AI76" s="1">
        <v>677786</v>
      </c>
      <c r="AJ76" s="1">
        <v>1827745</v>
      </c>
      <c r="AK76" s="1">
        <v>1692846</v>
      </c>
      <c r="AL76" s="1">
        <v>812685</v>
      </c>
    </row>
    <row r="77" spans="1:38" x14ac:dyDescent="0.2">
      <c r="A77">
        <v>87</v>
      </c>
      <c r="B77" t="s">
        <v>92</v>
      </c>
      <c r="C77" t="s">
        <v>548</v>
      </c>
      <c r="D77" t="s">
        <v>971</v>
      </c>
      <c r="E77" t="s">
        <v>1128</v>
      </c>
      <c r="F77" t="s">
        <v>1305</v>
      </c>
      <c r="G77" s="7">
        <v>500</v>
      </c>
      <c r="H77" t="str">
        <f t="shared" si="9"/>
        <v>Z</v>
      </c>
      <c r="I77" s="1">
        <v>4963123</v>
      </c>
      <c r="J77" s="1">
        <v>93762</v>
      </c>
      <c r="K77" s="1">
        <v>88033</v>
      </c>
      <c r="L77" s="1">
        <v>80948</v>
      </c>
      <c r="M77" s="1">
        <v>21876</v>
      </c>
      <c r="N77" s="1">
        <v>3688543</v>
      </c>
      <c r="O77" s="2">
        <f t="shared" si="5"/>
        <v>0.74318992295778286</v>
      </c>
      <c r="P77">
        <f t="shared" si="6"/>
        <v>1</v>
      </c>
      <c r="Q77" s="1">
        <v>569</v>
      </c>
      <c r="R77" s="1">
        <v>60380</v>
      </c>
      <c r="S77" s="1">
        <v>1358624</v>
      </c>
      <c r="T77" s="1">
        <v>258514</v>
      </c>
      <c r="U77" s="1">
        <v>1100110</v>
      </c>
      <c r="V77" s="1">
        <v>1073044</v>
      </c>
      <c r="W77" s="1">
        <v>285580</v>
      </c>
      <c r="X77" s="1">
        <v>13073235</v>
      </c>
      <c r="Y77" s="1">
        <v>314516</v>
      </c>
      <c r="Z77" s="1">
        <v>327772</v>
      </c>
      <c r="AA77" s="1">
        <v>271433</v>
      </c>
      <c r="AB77" s="1">
        <v>67799</v>
      </c>
      <c r="AC77" s="1">
        <v>9043651</v>
      </c>
      <c r="AD77" s="2">
        <f t="shared" si="7"/>
        <v>0.69176841080268192</v>
      </c>
      <c r="AE77">
        <f t="shared" si="8"/>
        <v>1</v>
      </c>
      <c r="AF77" s="1">
        <v>2182</v>
      </c>
      <c r="AG77" s="1">
        <v>391885</v>
      </c>
      <c r="AH77" s="1">
        <v>2971944</v>
      </c>
      <c r="AI77" s="1">
        <v>1159387</v>
      </c>
      <c r="AJ77" s="1">
        <v>1812557</v>
      </c>
      <c r="AK77" s="1">
        <v>1991756</v>
      </c>
      <c r="AL77" s="1">
        <v>980188</v>
      </c>
    </row>
    <row r="78" spans="1:38" x14ac:dyDescent="0.2">
      <c r="A78">
        <v>89</v>
      </c>
      <c r="B78" t="s">
        <v>149</v>
      </c>
      <c r="C78" t="s">
        <v>605</v>
      </c>
      <c r="D78" t="s">
        <v>1012</v>
      </c>
      <c r="E78" t="s">
        <v>1175</v>
      </c>
      <c r="F78" t="s">
        <v>1306</v>
      </c>
      <c r="G78" s="7">
        <v>500</v>
      </c>
      <c r="H78" t="str">
        <f t="shared" si="9"/>
        <v>Z</v>
      </c>
      <c r="I78" s="1">
        <v>4870461</v>
      </c>
      <c r="J78" s="1">
        <v>139393</v>
      </c>
      <c r="K78" s="1">
        <v>122315</v>
      </c>
      <c r="L78" s="1">
        <v>85103</v>
      </c>
      <c r="M78" s="1">
        <v>256458</v>
      </c>
      <c r="N78" s="1">
        <v>4243895</v>
      </c>
      <c r="O78" s="2">
        <f t="shared" si="5"/>
        <v>0.87135386157491046</v>
      </c>
      <c r="P78">
        <f t="shared" si="6"/>
        <v>1</v>
      </c>
      <c r="Q78" s="1">
        <v>10479</v>
      </c>
      <c r="R78" s="1">
        <v>747706</v>
      </c>
      <c r="S78" s="1">
        <v>3596698</v>
      </c>
      <c r="T78" s="1">
        <v>2269244</v>
      </c>
      <c r="U78" s="1">
        <v>1327454</v>
      </c>
      <c r="V78" s="1">
        <v>2414931</v>
      </c>
      <c r="W78" s="1">
        <v>1181767.4201799999</v>
      </c>
      <c r="X78" s="1">
        <v>5703901</v>
      </c>
      <c r="Y78" s="1">
        <v>297678</v>
      </c>
      <c r="Z78" s="1">
        <v>137436</v>
      </c>
      <c r="AA78" s="1">
        <v>110055</v>
      </c>
      <c r="AB78" s="1">
        <v>299628</v>
      </c>
      <c r="AC78" s="1">
        <v>4928230</v>
      </c>
      <c r="AD78" s="2">
        <f t="shared" si="7"/>
        <v>0.86401043776881825</v>
      </c>
      <c r="AE78">
        <f t="shared" si="8"/>
        <v>1</v>
      </c>
      <c r="AF78" s="1">
        <v>8105</v>
      </c>
      <c r="AG78" s="1">
        <v>933264</v>
      </c>
      <c r="AH78" s="1">
        <v>3690216</v>
      </c>
      <c r="AI78" s="1">
        <v>2324018</v>
      </c>
      <c r="AJ78" s="1">
        <v>1366198</v>
      </c>
      <c r="AK78" s="1">
        <v>3033245</v>
      </c>
      <c r="AL78" s="1">
        <v>656971</v>
      </c>
    </row>
    <row r="79" spans="1:38" x14ac:dyDescent="0.2">
      <c r="A79">
        <v>90</v>
      </c>
      <c r="B79" t="s">
        <v>140</v>
      </c>
      <c r="C79" t="s">
        <v>596</v>
      </c>
      <c r="D79" t="s">
        <v>974</v>
      </c>
      <c r="E79" t="s">
        <v>1131</v>
      </c>
      <c r="F79" t="s">
        <v>1305</v>
      </c>
      <c r="G79" s="7">
        <v>500</v>
      </c>
      <c r="H79" t="str">
        <f t="shared" si="9"/>
        <v>Z</v>
      </c>
      <c r="I79" s="1">
        <v>4846047</v>
      </c>
      <c r="J79" s="1">
        <v>58058</v>
      </c>
      <c r="K79" s="1">
        <v>56770.577859999998</v>
      </c>
      <c r="L79" s="1">
        <v>45218</v>
      </c>
      <c r="M79" s="1">
        <v>4184</v>
      </c>
      <c r="N79" s="1">
        <v>656942</v>
      </c>
      <c r="O79" s="2">
        <f t="shared" si="5"/>
        <v>0.13556244914669627</v>
      </c>
      <c r="P79">
        <f t="shared" si="6"/>
        <v>0</v>
      </c>
      <c r="Q79" s="1">
        <v>165</v>
      </c>
      <c r="R79" s="1">
        <v>32493</v>
      </c>
      <c r="S79" s="1">
        <v>766475.12424999999</v>
      </c>
      <c r="T79" s="1">
        <v>93436.273639999999</v>
      </c>
      <c r="U79" s="1">
        <v>673038.85060999996</v>
      </c>
      <c r="V79" s="1">
        <v>41908</v>
      </c>
      <c r="W79" s="1">
        <v>679349.46990000003</v>
      </c>
      <c r="X79" s="1">
        <v>6435320.0632100003</v>
      </c>
      <c r="Y79" s="1">
        <v>114185.25068</v>
      </c>
      <c r="Z79" s="1">
        <v>114247.79683000001</v>
      </c>
      <c r="AA79" s="1">
        <v>90136.54883</v>
      </c>
      <c r="AB79" s="1">
        <v>4758.6255799999999</v>
      </c>
      <c r="AC79" s="1">
        <v>785813</v>
      </c>
      <c r="AD79" s="2">
        <f t="shared" si="7"/>
        <v>0.12210938885423965</v>
      </c>
      <c r="AE79">
        <f t="shared" si="8"/>
        <v>0</v>
      </c>
      <c r="AF79" s="1">
        <v>151</v>
      </c>
      <c r="AG79" s="1">
        <v>39686.610139999997</v>
      </c>
      <c r="AH79" s="1">
        <v>1144525.45728</v>
      </c>
      <c r="AI79" s="1">
        <v>111421.07235</v>
      </c>
      <c r="AJ79" s="1">
        <v>1033104.3849299999</v>
      </c>
      <c r="AK79" s="1">
        <v>94991.035799999998</v>
      </c>
      <c r="AL79" s="1">
        <v>1049534.42148</v>
      </c>
    </row>
    <row r="80" spans="1:38" x14ac:dyDescent="0.2">
      <c r="A80">
        <v>91</v>
      </c>
      <c r="B80" t="s">
        <v>154</v>
      </c>
      <c r="C80" t="s">
        <v>610</v>
      </c>
      <c r="D80" t="s">
        <v>1016</v>
      </c>
      <c r="E80" t="s">
        <v>1179</v>
      </c>
      <c r="F80" t="s">
        <v>1306</v>
      </c>
      <c r="G80" s="7">
        <v>500</v>
      </c>
      <c r="H80" t="str">
        <f t="shared" si="9"/>
        <v>Z</v>
      </c>
      <c r="I80" s="1">
        <v>4836169</v>
      </c>
      <c r="J80" s="1">
        <v>269772</v>
      </c>
      <c r="K80" s="1">
        <v>215899</v>
      </c>
      <c r="L80" s="1">
        <v>145009</v>
      </c>
      <c r="M80" s="1">
        <v>227342</v>
      </c>
      <c r="N80" s="1">
        <v>4137620</v>
      </c>
      <c r="O80" s="2">
        <f t="shared" si="5"/>
        <v>0.85555736369014401</v>
      </c>
      <c r="P80">
        <f t="shared" si="6"/>
        <v>1</v>
      </c>
      <c r="Q80" s="1">
        <v>4887</v>
      </c>
      <c r="R80" s="1">
        <v>496163</v>
      </c>
      <c r="S80" s="1">
        <v>3758708</v>
      </c>
      <c r="T80" s="1">
        <v>2066954</v>
      </c>
      <c r="U80" s="1">
        <v>1691754</v>
      </c>
      <c r="V80" s="1">
        <v>1489226</v>
      </c>
      <c r="W80" s="1">
        <v>2269482</v>
      </c>
      <c r="X80" s="1">
        <v>5386091</v>
      </c>
      <c r="Y80" s="1">
        <v>-20704</v>
      </c>
      <c r="Z80" s="1">
        <v>-68408</v>
      </c>
      <c r="AA80" s="1">
        <v>-12287</v>
      </c>
      <c r="AB80" s="1">
        <v>242270</v>
      </c>
      <c r="AC80" s="1">
        <v>4631369</v>
      </c>
      <c r="AD80" s="2">
        <f t="shared" si="7"/>
        <v>0.85987574290891111</v>
      </c>
      <c r="AE80">
        <f t="shared" si="8"/>
        <v>1</v>
      </c>
      <c r="AF80" s="1">
        <v>5062</v>
      </c>
      <c r="AG80" s="1">
        <v>810422</v>
      </c>
      <c r="AH80" s="1">
        <v>5032245</v>
      </c>
      <c r="AI80" s="1">
        <v>2569300</v>
      </c>
      <c r="AJ80" s="1">
        <v>2462945</v>
      </c>
      <c r="AK80" s="1">
        <v>1022364</v>
      </c>
      <c r="AL80" s="1">
        <v>4009881</v>
      </c>
    </row>
    <row r="81" spans="1:38" x14ac:dyDescent="0.2">
      <c r="A81">
        <v>93</v>
      </c>
      <c r="B81" t="s">
        <v>174</v>
      </c>
      <c r="C81" t="s">
        <v>630</v>
      </c>
      <c r="D81" t="s">
        <v>1023</v>
      </c>
      <c r="E81" t="s">
        <v>1178</v>
      </c>
      <c r="F81" t="s">
        <v>1311</v>
      </c>
      <c r="G81" s="7">
        <v>245</v>
      </c>
      <c r="H81" t="str">
        <f t="shared" si="9"/>
        <v>K</v>
      </c>
      <c r="I81" s="1">
        <v>4781600</v>
      </c>
      <c r="J81" s="1">
        <v>143400</v>
      </c>
      <c r="K81" s="1">
        <v>73500</v>
      </c>
      <c r="L81" s="1">
        <v>36000</v>
      </c>
      <c r="M81" s="1">
        <v>716500</v>
      </c>
      <c r="N81" s="1">
        <v>1369700</v>
      </c>
      <c r="O81" s="2">
        <f t="shared" si="5"/>
        <v>0.28645223356198762</v>
      </c>
      <c r="P81">
        <f t="shared" si="6"/>
        <v>0</v>
      </c>
      <c r="Q81" s="1">
        <v>23657</v>
      </c>
      <c r="R81" s="1">
        <v>1579000</v>
      </c>
      <c r="S81" s="1">
        <v>7991300</v>
      </c>
      <c r="T81" s="1">
        <v>6503800</v>
      </c>
      <c r="U81" s="1">
        <v>1487500</v>
      </c>
      <c r="V81" s="1">
        <v>3423300</v>
      </c>
      <c r="W81" s="1">
        <v>4568000</v>
      </c>
      <c r="X81" s="1">
        <v>4460400</v>
      </c>
      <c r="Y81" s="1">
        <v>-2691400</v>
      </c>
      <c r="Z81" s="1">
        <v>-2884500</v>
      </c>
      <c r="AA81" s="1">
        <v>-2412600</v>
      </c>
      <c r="AB81" s="1">
        <v>2991100</v>
      </c>
      <c r="AC81" s="1">
        <v>594700</v>
      </c>
      <c r="AD81" s="2">
        <f t="shared" si="7"/>
        <v>0.13332884943054435</v>
      </c>
      <c r="AE81">
        <f t="shared" si="8"/>
        <v>0</v>
      </c>
      <c r="AF81" s="1">
        <v>14734</v>
      </c>
      <c r="AG81" s="1">
        <v>1759600</v>
      </c>
      <c r="AH81" s="1">
        <v>6439600</v>
      </c>
      <c r="AI81" s="1">
        <v>4996300</v>
      </c>
      <c r="AJ81" s="1">
        <v>1443300</v>
      </c>
      <c r="AK81" s="1">
        <v>746200</v>
      </c>
      <c r="AL81" s="1">
        <v>5693400</v>
      </c>
    </row>
    <row r="82" spans="1:38" x14ac:dyDescent="0.2">
      <c r="A82">
        <v>94</v>
      </c>
      <c r="B82" t="s">
        <v>94</v>
      </c>
      <c r="C82" t="s">
        <v>550</v>
      </c>
      <c r="D82" t="s">
        <v>989</v>
      </c>
      <c r="E82" t="s">
        <v>1149</v>
      </c>
      <c r="F82" t="s">
        <v>1220</v>
      </c>
      <c r="G82" s="7">
        <v>450</v>
      </c>
      <c r="H82" t="str">
        <f t="shared" si="9"/>
        <v>K</v>
      </c>
      <c r="I82" s="1">
        <v>4597231</v>
      </c>
      <c r="J82" s="1">
        <v>439963</v>
      </c>
      <c r="K82" s="1">
        <v>281209</v>
      </c>
      <c r="L82" s="1">
        <v>184054</v>
      </c>
      <c r="M82" s="1">
        <v>374954</v>
      </c>
      <c r="N82" s="1">
        <v>15726</v>
      </c>
      <c r="O82" s="2">
        <f t="shared" si="5"/>
        <v>3.4207547978337394E-3</v>
      </c>
      <c r="P82">
        <f t="shared" si="6"/>
        <v>0</v>
      </c>
      <c r="Q82" s="1">
        <v>4202</v>
      </c>
      <c r="R82" s="1">
        <v>502057</v>
      </c>
      <c r="S82" s="1">
        <v>6872982</v>
      </c>
      <c r="T82" s="1">
        <v>5290273</v>
      </c>
      <c r="U82" s="1">
        <v>1582709</v>
      </c>
      <c r="V82" s="1">
        <v>1322303</v>
      </c>
      <c r="W82" s="1">
        <v>5067120</v>
      </c>
      <c r="X82" s="1">
        <v>12952965</v>
      </c>
      <c r="Y82" s="1">
        <v>1113043</v>
      </c>
      <c r="Z82" s="1">
        <v>737276</v>
      </c>
      <c r="AA82" s="1">
        <v>549665</v>
      </c>
      <c r="AB82" s="1">
        <v>1272054</v>
      </c>
      <c r="AC82" s="1">
        <v>16053</v>
      </c>
      <c r="AD82" s="2">
        <f t="shared" si="7"/>
        <v>1.2393301456461898E-3</v>
      </c>
      <c r="AE82">
        <f t="shared" si="8"/>
        <v>0</v>
      </c>
      <c r="AF82" s="1">
        <v>4459</v>
      </c>
      <c r="AG82" s="1">
        <v>754391</v>
      </c>
      <c r="AH82" s="1">
        <v>10156778</v>
      </c>
      <c r="AI82" s="1">
        <v>6989376</v>
      </c>
      <c r="AJ82" s="1">
        <v>3167402</v>
      </c>
      <c r="AK82" s="1">
        <v>1560461</v>
      </c>
      <c r="AL82" s="1">
        <v>8372497</v>
      </c>
    </row>
    <row r="83" spans="1:38" x14ac:dyDescent="0.2">
      <c r="A83">
        <v>95</v>
      </c>
      <c r="B83" t="s">
        <v>129</v>
      </c>
      <c r="C83" t="s">
        <v>585</v>
      </c>
      <c r="D83" t="s">
        <v>1004</v>
      </c>
      <c r="E83" t="s">
        <v>1167</v>
      </c>
      <c r="F83" t="s">
        <v>1220</v>
      </c>
      <c r="G83" s="7">
        <v>200</v>
      </c>
      <c r="H83" t="str">
        <f t="shared" si="9"/>
        <v>K</v>
      </c>
      <c r="I83" s="1">
        <v>4580320</v>
      </c>
      <c r="J83" s="1">
        <v>933800</v>
      </c>
      <c r="K83" s="1">
        <v>855308</v>
      </c>
      <c r="L83" s="1">
        <v>684846</v>
      </c>
      <c r="M83" s="1">
        <v>1020891</v>
      </c>
      <c r="N83" s="1">
        <v>0</v>
      </c>
      <c r="O83" s="2">
        <f t="shared" si="5"/>
        <v>0</v>
      </c>
      <c r="P83">
        <f t="shared" si="6"/>
        <v>0</v>
      </c>
      <c r="Q83" s="1">
        <v>11395</v>
      </c>
      <c r="R83" s="1">
        <v>1204540</v>
      </c>
      <c r="S83" s="1">
        <v>17536785</v>
      </c>
      <c r="T83" s="1">
        <v>16817100</v>
      </c>
      <c r="U83" s="1">
        <v>719685</v>
      </c>
      <c r="V83" s="1">
        <v>11662524</v>
      </c>
      <c r="W83" s="1">
        <v>5874261</v>
      </c>
      <c r="X83" s="1">
        <v>7271757</v>
      </c>
      <c r="Y83" s="1">
        <v>1601836</v>
      </c>
      <c r="Z83" s="1">
        <v>1067235</v>
      </c>
      <c r="AA83" s="1">
        <v>861283</v>
      </c>
      <c r="AB83" s="1">
        <v>1505030</v>
      </c>
      <c r="AC83" s="1">
        <v>0</v>
      </c>
      <c r="AD83" s="2">
        <f t="shared" si="7"/>
        <v>0</v>
      </c>
      <c r="AE83">
        <f t="shared" si="8"/>
        <v>0</v>
      </c>
      <c r="AF83" s="1">
        <v>11707</v>
      </c>
      <c r="AG83" s="1">
        <v>1812593</v>
      </c>
      <c r="AH83" s="1">
        <v>27962940</v>
      </c>
      <c r="AI83" s="1">
        <v>26693279</v>
      </c>
      <c r="AJ83" s="1">
        <v>1269661</v>
      </c>
      <c r="AK83" s="1">
        <v>15900346</v>
      </c>
      <c r="AL83" s="1">
        <v>12064847</v>
      </c>
    </row>
    <row r="84" spans="1:38" x14ac:dyDescent="0.2">
      <c r="A84">
        <v>96</v>
      </c>
      <c r="B84" t="s">
        <v>147</v>
      </c>
      <c r="C84" t="s">
        <v>603</v>
      </c>
      <c r="D84" t="s">
        <v>33</v>
      </c>
      <c r="E84" t="s">
        <v>1173</v>
      </c>
      <c r="F84" t="s">
        <v>1308</v>
      </c>
      <c r="G84" s="7">
        <v>500</v>
      </c>
      <c r="H84" t="str">
        <f t="shared" si="9"/>
        <v>Z</v>
      </c>
      <c r="I84" s="1">
        <v>4552235</v>
      </c>
      <c r="J84" s="1">
        <v>214644</v>
      </c>
      <c r="K84" s="1">
        <v>176414</v>
      </c>
      <c r="L84" s="1">
        <v>137049</v>
      </c>
      <c r="M84" s="1">
        <v>122464</v>
      </c>
      <c r="N84" s="1">
        <v>1143559</v>
      </c>
      <c r="O84" s="2">
        <f t="shared" si="5"/>
        <v>0.25120825264952273</v>
      </c>
      <c r="P84">
        <f t="shared" si="6"/>
        <v>0</v>
      </c>
      <c r="Q84" s="1">
        <v>9298</v>
      </c>
      <c r="R84" s="1">
        <v>548420</v>
      </c>
      <c r="S84" s="1">
        <v>1926575</v>
      </c>
      <c r="T84" s="1">
        <v>976038</v>
      </c>
      <c r="U84" s="1">
        <v>950537</v>
      </c>
      <c r="V84" s="1">
        <v>571911</v>
      </c>
      <c r="W84" s="1">
        <v>1354664</v>
      </c>
      <c r="X84" s="1">
        <v>5792624</v>
      </c>
      <c r="Y84" s="1">
        <v>82039</v>
      </c>
      <c r="Z84" s="1">
        <v>-7702</v>
      </c>
      <c r="AA84" s="1">
        <v>-10147</v>
      </c>
      <c r="AB84" s="1">
        <v>195184</v>
      </c>
      <c r="AC84" s="1">
        <v>994274</v>
      </c>
      <c r="AD84" s="2">
        <f t="shared" si="7"/>
        <v>0.17164483660600102</v>
      </c>
      <c r="AE84">
        <f t="shared" si="8"/>
        <v>0</v>
      </c>
      <c r="AF84" s="1">
        <v>9057</v>
      </c>
      <c r="AG84" s="1">
        <v>770592</v>
      </c>
      <c r="AH84" s="1">
        <v>2475309</v>
      </c>
      <c r="AI84" s="1">
        <v>1427068</v>
      </c>
      <c r="AJ84" s="1">
        <v>1048241</v>
      </c>
      <c r="AK84" s="1">
        <v>561644</v>
      </c>
      <c r="AL84" s="1">
        <v>1913664</v>
      </c>
    </row>
    <row r="85" spans="1:38" x14ac:dyDescent="0.2">
      <c r="A85">
        <v>97</v>
      </c>
      <c r="B85" t="s">
        <v>138</v>
      </c>
      <c r="C85" t="s">
        <v>594</v>
      </c>
      <c r="D85" t="s">
        <v>1002</v>
      </c>
      <c r="E85" t="s">
        <v>1163</v>
      </c>
      <c r="F85" t="s">
        <v>1301</v>
      </c>
      <c r="G85" s="7">
        <v>500</v>
      </c>
      <c r="H85" t="str">
        <f t="shared" si="9"/>
        <v>Z</v>
      </c>
      <c r="I85" s="1">
        <v>4462261</v>
      </c>
      <c r="J85" s="1">
        <v>244864</v>
      </c>
      <c r="K85" s="1">
        <v>379338</v>
      </c>
      <c r="L85" s="1">
        <v>317341</v>
      </c>
      <c r="M85" s="1">
        <v>35291</v>
      </c>
      <c r="N85" s="1">
        <v>120059</v>
      </c>
      <c r="O85" s="2">
        <f t="shared" si="5"/>
        <v>2.6905418575919247E-2</v>
      </c>
      <c r="P85">
        <f t="shared" si="6"/>
        <v>0</v>
      </c>
      <c r="Q85" s="1">
        <v>4674</v>
      </c>
      <c r="R85" s="1">
        <v>378051</v>
      </c>
      <c r="S85" s="1">
        <v>1998766</v>
      </c>
      <c r="T85" s="1">
        <v>1134987</v>
      </c>
      <c r="U85" s="1">
        <v>863779</v>
      </c>
      <c r="V85" s="1">
        <v>411022</v>
      </c>
      <c r="W85" s="1">
        <v>1587744</v>
      </c>
      <c r="X85" s="1">
        <v>6108698</v>
      </c>
      <c r="Y85" s="1">
        <v>266547</v>
      </c>
      <c r="Z85" s="1">
        <v>291183</v>
      </c>
      <c r="AA85" s="1">
        <v>329468</v>
      </c>
      <c r="AB85" s="1">
        <v>98688</v>
      </c>
      <c r="AC85" s="1">
        <v>20143</v>
      </c>
      <c r="AD85" s="2">
        <f t="shared" si="7"/>
        <v>3.2974293376428166E-3</v>
      </c>
      <c r="AE85">
        <f t="shared" si="8"/>
        <v>0</v>
      </c>
      <c r="AF85" s="1">
        <v>5200</v>
      </c>
      <c r="AG85" s="1">
        <v>548706</v>
      </c>
      <c r="AH85" s="1">
        <v>2636892</v>
      </c>
      <c r="AI85" s="1">
        <v>1940111</v>
      </c>
      <c r="AJ85" s="1">
        <v>696781</v>
      </c>
      <c r="AK85" s="1">
        <v>613843</v>
      </c>
      <c r="AL85" s="1">
        <v>2023049</v>
      </c>
    </row>
    <row r="86" spans="1:38" x14ac:dyDescent="0.2">
      <c r="A86">
        <v>98</v>
      </c>
      <c r="B86" t="s">
        <v>88</v>
      </c>
      <c r="C86" t="s">
        <v>544</v>
      </c>
      <c r="D86" t="s">
        <v>982</v>
      </c>
      <c r="E86" t="s">
        <v>1146</v>
      </c>
      <c r="F86" t="s">
        <v>1300</v>
      </c>
      <c r="G86" s="7">
        <v>400</v>
      </c>
      <c r="H86" t="str">
        <f t="shared" si="9"/>
        <v>K</v>
      </c>
      <c r="I86" s="1">
        <v>4464943</v>
      </c>
      <c r="J86" s="1">
        <v>83507</v>
      </c>
      <c r="K86" s="1">
        <v>74711</v>
      </c>
      <c r="L86" s="1">
        <v>8997</v>
      </c>
      <c r="M86" s="1">
        <v>6442</v>
      </c>
      <c r="N86" s="1">
        <v>837808</v>
      </c>
      <c r="O86" s="2">
        <f t="shared" si="5"/>
        <v>0.18764136518652086</v>
      </c>
      <c r="P86">
        <f t="shared" si="6"/>
        <v>0</v>
      </c>
      <c r="Q86" s="1">
        <v>123</v>
      </c>
      <c r="R86" s="1">
        <v>15929</v>
      </c>
      <c r="S86" s="1">
        <v>687120</v>
      </c>
      <c r="T86" s="1">
        <v>80393</v>
      </c>
      <c r="U86" s="1">
        <v>606727</v>
      </c>
      <c r="V86" s="1">
        <v>246936</v>
      </c>
      <c r="W86" s="1">
        <v>440184</v>
      </c>
      <c r="X86" s="1">
        <v>14084511</v>
      </c>
      <c r="Y86" s="1">
        <v>233503</v>
      </c>
      <c r="Z86" s="1">
        <v>187214</v>
      </c>
      <c r="AA86" s="1">
        <v>139341</v>
      </c>
      <c r="AB86" s="1">
        <v>100065</v>
      </c>
      <c r="AC86" s="1">
        <v>2305314</v>
      </c>
      <c r="AD86" s="2">
        <f t="shared" si="7"/>
        <v>0.16367724800669331</v>
      </c>
      <c r="AE86">
        <f t="shared" si="8"/>
        <v>0</v>
      </c>
      <c r="AF86" s="1">
        <v>929</v>
      </c>
      <c r="AG86" s="1">
        <v>201991</v>
      </c>
      <c r="AH86" s="1">
        <v>3402120</v>
      </c>
      <c r="AI86" s="1">
        <v>1531635</v>
      </c>
      <c r="AJ86" s="1">
        <v>1870485</v>
      </c>
      <c r="AK86" s="1">
        <v>1184937</v>
      </c>
      <c r="AL86" s="1">
        <v>2217183</v>
      </c>
    </row>
    <row r="87" spans="1:38" x14ac:dyDescent="0.2">
      <c r="A87">
        <v>99</v>
      </c>
      <c r="B87" t="s">
        <v>130</v>
      </c>
      <c r="C87" t="s">
        <v>586</v>
      </c>
      <c r="D87" t="s">
        <v>39</v>
      </c>
      <c r="E87" t="s">
        <v>1157</v>
      </c>
      <c r="F87" t="s">
        <v>1308</v>
      </c>
      <c r="G87" s="7">
        <v>400</v>
      </c>
      <c r="H87" t="str">
        <f t="shared" si="9"/>
        <v>K</v>
      </c>
      <c r="I87" s="1">
        <v>4293885.72755</v>
      </c>
      <c r="J87" s="1">
        <v>17032</v>
      </c>
      <c r="K87" s="1">
        <v>18574</v>
      </c>
      <c r="L87" s="1">
        <v>11561</v>
      </c>
      <c r="M87" s="1">
        <v>80132</v>
      </c>
      <c r="N87" s="1">
        <v>870765</v>
      </c>
      <c r="O87" s="2">
        <f t="shared" si="5"/>
        <v>0.2027918429251819</v>
      </c>
      <c r="P87">
        <f t="shared" si="6"/>
        <v>0</v>
      </c>
      <c r="Q87" s="1">
        <v>2732</v>
      </c>
      <c r="R87" s="1">
        <v>219321.79092</v>
      </c>
      <c r="S87" s="1">
        <v>2554121.17777</v>
      </c>
      <c r="T87" s="1">
        <v>849283</v>
      </c>
      <c r="U87" s="1">
        <v>1157958</v>
      </c>
      <c r="V87" s="1">
        <v>1664961</v>
      </c>
      <c r="W87" s="1">
        <v>889160.21823</v>
      </c>
      <c r="X87" s="1">
        <v>7150193.0615600003</v>
      </c>
      <c r="Y87" s="1">
        <v>116269.06856</v>
      </c>
      <c r="Z87" s="1">
        <v>117023.91327</v>
      </c>
      <c r="AA87" s="1">
        <v>96369.960040000005</v>
      </c>
      <c r="AB87" s="1">
        <v>173640.88157999999</v>
      </c>
      <c r="AC87" s="1">
        <v>1536839</v>
      </c>
      <c r="AD87" s="2">
        <f t="shared" si="7"/>
        <v>0.21493671384373761</v>
      </c>
      <c r="AE87">
        <f t="shared" si="8"/>
        <v>0</v>
      </c>
      <c r="AF87" s="1">
        <v>2961</v>
      </c>
      <c r="AG87" s="1">
        <v>375883.53694999998</v>
      </c>
      <c r="AH87" s="1">
        <v>2725029.2518500001</v>
      </c>
      <c r="AI87" s="1">
        <v>795323.25245000003</v>
      </c>
      <c r="AJ87" s="1">
        <v>1929705.9994000001</v>
      </c>
      <c r="AK87" s="1">
        <v>1496105.89301</v>
      </c>
      <c r="AL87" s="1">
        <v>1228923.3588399999</v>
      </c>
    </row>
    <row r="88" spans="1:38" x14ac:dyDescent="0.2">
      <c r="A88">
        <v>100</v>
      </c>
      <c r="B88" t="s">
        <v>202</v>
      </c>
      <c r="C88" t="s">
        <v>658</v>
      </c>
      <c r="D88" t="s">
        <v>1024</v>
      </c>
      <c r="E88" t="s">
        <v>1192</v>
      </c>
      <c r="F88" t="s">
        <v>1305</v>
      </c>
      <c r="G88" s="7">
        <v>500</v>
      </c>
      <c r="H88" t="str">
        <f t="shared" si="9"/>
        <v>Z</v>
      </c>
      <c r="I88" s="1">
        <v>3888846</v>
      </c>
      <c r="J88" s="1">
        <v>115726</v>
      </c>
      <c r="K88" s="1">
        <v>126689</v>
      </c>
      <c r="L88" s="1">
        <v>117206</v>
      </c>
      <c r="M88" s="1">
        <v>233742</v>
      </c>
      <c r="N88" s="1">
        <v>3805596</v>
      </c>
      <c r="O88" s="2">
        <f t="shared" si="5"/>
        <v>0.97859262105004929</v>
      </c>
      <c r="P88">
        <f t="shared" si="6"/>
        <v>1</v>
      </c>
      <c r="Q88" s="1">
        <v>6250</v>
      </c>
      <c r="R88" s="1">
        <v>418589</v>
      </c>
      <c r="S88" s="1">
        <v>2371105</v>
      </c>
      <c r="T88" s="1">
        <v>1575602</v>
      </c>
      <c r="U88" s="1">
        <v>795503</v>
      </c>
      <c r="V88" s="1">
        <v>451400</v>
      </c>
      <c r="W88" s="1">
        <v>1919705</v>
      </c>
      <c r="X88" s="1">
        <v>3877370</v>
      </c>
      <c r="Y88" s="1">
        <v>-262459</v>
      </c>
      <c r="Z88" s="1">
        <v>-261020</v>
      </c>
      <c r="AA88" s="1">
        <v>-236340</v>
      </c>
      <c r="AB88" s="1">
        <v>277288</v>
      </c>
      <c r="AC88" s="1">
        <v>3608338</v>
      </c>
      <c r="AD88" s="2">
        <f t="shared" si="7"/>
        <v>0.93061482396572937</v>
      </c>
      <c r="AE88">
        <f t="shared" si="8"/>
        <v>1</v>
      </c>
      <c r="AF88" s="1">
        <v>5744</v>
      </c>
      <c r="AG88" s="1">
        <v>631404</v>
      </c>
      <c r="AH88" s="1">
        <v>2872678</v>
      </c>
      <c r="AI88" s="1">
        <v>1830187</v>
      </c>
      <c r="AJ88" s="1">
        <v>1042491</v>
      </c>
      <c r="AK88" s="1">
        <v>-267874</v>
      </c>
      <c r="AL88" s="1">
        <v>3140552</v>
      </c>
    </row>
    <row r="89" spans="1:38" x14ac:dyDescent="0.2">
      <c r="A89">
        <v>102</v>
      </c>
      <c r="B89" t="s">
        <v>169</v>
      </c>
      <c r="C89" t="s">
        <v>625</v>
      </c>
      <c r="D89" t="s">
        <v>982</v>
      </c>
      <c r="E89" t="s">
        <v>1188</v>
      </c>
      <c r="F89" t="s">
        <v>1305</v>
      </c>
      <c r="G89" s="7">
        <v>500</v>
      </c>
      <c r="H89" t="str">
        <f t="shared" si="9"/>
        <v>Z</v>
      </c>
      <c r="I89" s="1">
        <v>4111333</v>
      </c>
      <c r="J89" s="1">
        <v>80578</v>
      </c>
      <c r="K89" s="1">
        <v>77096</v>
      </c>
      <c r="L89" s="1">
        <v>65426</v>
      </c>
      <c r="M89" s="1">
        <v>32370</v>
      </c>
      <c r="N89" s="1">
        <v>1870450</v>
      </c>
      <c r="O89" s="2">
        <f t="shared" si="5"/>
        <v>0.45494976933272008</v>
      </c>
      <c r="P89">
        <f t="shared" si="6"/>
        <v>0</v>
      </c>
      <c r="Q89" s="1">
        <v>3545</v>
      </c>
      <c r="R89" s="1">
        <v>452580</v>
      </c>
      <c r="S89" s="1">
        <v>1936856</v>
      </c>
      <c r="T89" s="1">
        <v>1192583</v>
      </c>
      <c r="U89" s="1">
        <v>744273</v>
      </c>
      <c r="V89" s="1">
        <v>458826</v>
      </c>
      <c r="W89" s="1">
        <v>1478030</v>
      </c>
      <c r="X89" s="1">
        <v>4682384</v>
      </c>
      <c r="Y89" s="1">
        <v>316661</v>
      </c>
      <c r="Z89" s="1">
        <v>323552</v>
      </c>
      <c r="AA89" s="1">
        <v>262469</v>
      </c>
      <c r="AB89" s="1">
        <v>94991</v>
      </c>
      <c r="AC89" s="1">
        <v>1297333</v>
      </c>
      <c r="AD89" s="2">
        <f t="shared" si="7"/>
        <v>0.27706676769782229</v>
      </c>
      <c r="AE89">
        <f t="shared" si="8"/>
        <v>0</v>
      </c>
      <c r="AF89" s="1">
        <v>2510</v>
      </c>
      <c r="AG89" s="1">
        <v>523532</v>
      </c>
      <c r="AH89" s="1">
        <v>1490735</v>
      </c>
      <c r="AI89" s="1">
        <v>752346</v>
      </c>
      <c r="AJ89" s="1">
        <v>738389</v>
      </c>
      <c r="AK89" s="1">
        <v>489242</v>
      </c>
      <c r="AL89" s="1">
        <v>1001493</v>
      </c>
    </row>
    <row r="90" spans="1:38" x14ac:dyDescent="0.2">
      <c r="A90">
        <v>103</v>
      </c>
      <c r="B90" t="s">
        <v>143</v>
      </c>
      <c r="C90" t="s">
        <v>599</v>
      </c>
      <c r="D90" t="s">
        <v>969</v>
      </c>
      <c r="E90" t="s">
        <v>1126</v>
      </c>
      <c r="F90" t="s">
        <v>1304</v>
      </c>
      <c r="G90" s="7">
        <v>500</v>
      </c>
      <c r="H90" t="str">
        <f t="shared" si="9"/>
        <v>Z</v>
      </c>
      <c r="I90" s="1">
        <v>3941161.5378999999</v>
      </c>
      <c r="J90" s="1">
        <v>22351.072180001349</v>
      </c>
      <c r="K90" s="1">
        <v>23852</v>
      </c>
      <c r="L90" s="1">
        <v>19446.989830001348</v>
      </c>
      <c r="M90" s="1">
        <v>263.89299999999997</v>
      </c>
      <c r="N90" s="1">
        <v>1598798.06</v>
      </c>
      <c r="O90" s="2">
        <f t="shared" si="5"/>
        <v>0.40566671642997415</v>
      </c>
      <c r="P90">
        <f t="shared" si="6"/>
        <v>0</v>
      </c>
      <c r="Q90" s="1">
        <v>103</v>
      </c>
      <c r="R90" s="1">
        <v>15230</v>
      </c>
      <c r="S90" s="1">
        <v>1294824</v>
      </c>
      <c r="T90" s="1">
        <v>22382</v>
      </c>
      <c r="U90" s="1">
        <v>1272442</v>
      </c>
      <c r="V90" s="1">
        <v>252838.3125600015</v>
      </c>
      <c r="W90" s="1">
        <v>1041986</v>
      </c>
      <c r="X90" s="1">
        <v>6044542</v>
      </c>
      <c r="Y90" s="1">
        <v>86943</v>
      </c>
      <c r="Z90" s="1">
        <v>88818</v>
      </c>
      <c r="AA90" s="1">
        <v>72299</v>
      </c>
      <c r="AB90" s="1">
        <v>609</v>
      </c>
      <c r="AC90" s="1">
        <v>2714085</v>
      </c>
      <c r="AD90" s="2">
        <f t="shared" si="7"/>
        <v>0.44901416848456011</v>
      </c>
      <c r="AE90">
        <f t="shared" si="8"/>
        <v>0</v>
      </c>
      <c r="AF90" s="1">
        <v>130.19999999999999</v>
      </c>
      <c r="AG90" s="1">
        <v>41693</v>
      </c>
      <c r="AH90" s="1">
        <v>1150797</v>
      </c>
      <c r="AI90" s="1">
        <v>25282</v>
      </c>
      <c r="AJ90" s="1">
        <v>1125515</v>
      </c>
      <c r="AK90" s="1">
        <v>484714</v>
      </c>
      <c r="AL90" s="1">
        <v>666082</v>
      </c>
    </row>
    <row r="91" spans="1:38" x14ac:dyDescent="0.2">
      <c r="A91">
        <v>104</v>
      </c>
      <c r="B91" t="s">
        <v>172</v>
      </c>
      <c r="C91" t="s">
        <v>628</v>
      </c>
      <c r="D91" t="s">
        <v>43</v>
      </c>
      <c r="E91" t="s">
        <v>1190</v>
      </c>
      <c r="F91" t="s">
        <v>1308</v>
      </c>
      <c r="G91" s="7">
        <v>500</v>
      </c>
      <c r="H91" t="str">
        <f t="shared" si="9"/>
        <v>Z</v>
      </c>
      <c r="I91" s="1">
        <v>3934685</v>
      </c>
      <c r="J91" s="1">
        <v>369431</v>
      </c>
      <c r="K91" s="1">
        <v>354581</v>
      </c>
      <c r="L91" s="1">
        <v>256711</v>
      </c>
      <c r="M91" s="1">
        <v>129288</v>
      </c>
      <c r="N91" s="1">
        <v>1221227</v>
      </c>
      <c r="O91" s="2">
        <f t="shared" si="5"/>
        <v>0.31037478222526071</v>
      </c>
      <c r="P91">
        <f t="shared" si="6"/>
        <v>0</v>
      </c>
      <c r="Q91" s="1">
        <v>4065</v>
      </c>
      <c r="R91" s="1">
        <v>463673</v>
      </c>
      <c r="S91" s="1">
        <v>1334202</v>
      </c>
      <c r="T91" s="1">
        <v>640769</v>
      </c>
      <c r="U91" s="1">
        <v>693433</v>
      </c>
      <c r="V91" s="1">
        <v>421548</v>
      </c>
      <c r="W91" s="1">
        <v>912654</v>
      </c>
      <c r="X91" s="1">
        <v>4515328</v>
      </c>
      <c r="Y91" s="1">
        <v>233051</v>
      </c>
      <c r="Z91" s="1">
        <v>231099</v>
      </c>
      <c r="AA91" s="1">
        <v>200875</v>
      </c>
      <c r="AB91" s="1">
        <v>86171</v>
      </c>
      <c r="AC91" s="1">
        <v>985913</v>
      </c>
      <c r="AD91" s="2">
        <f t="shared" si="7"/>
        <v>0.2183480358459009</v>
      </c>
      <c r="AE91">
        <f t="shared" si="8"/>
        <v>0</v>
      </c>
      <c r="AF91" s="1">
        <v>3430</v>
      </c>
      <c r="AG91" s="1">
        <v>560164</v>
      </c>
      <c r="AH91" s="1">
        <v>2022125</v>
      </c>
      <c r="AI91" s="1">
        <v>1019545</v>
      </c>
      <c r="AJ91" s="1">
        <v>1002580</v>
      </c>
      <c r="AK91" s="1">
        <v>365620</v>
      </c>
      <c r="AL91" s="1">
        <v>1656505</v>
      </c>
    </row>
    <row r="92" spans="1:38" x14ac:dyDescent="0.2">
      <c r="A92">
        <v>105</v>
      </c>
      <c r="B92" t="s">
        <v>91</v>
      </c>
      <c r="C92" t="s">
        <v>547</v>
      </c>
      <c r="D92" t="s">
        <v>982</v>
      </c>
      <c r="E92" t="s">
        <v>1146</v>
      </c>
      <c r="F92" t="s">
        <v>1300</v>
      </c>
      <c r="G92" s="7">
        <v>450</v>
      </c>
      <c r="H92" t="str">
        <f t="shared" si="9"/>
        <v>K</v>
      </c>
      <c r="I92" s="1">
        <v>3861613</v>
      </c>
      <c r="J92" s="1">
        <v>37380</v>
      </c>
      <c r="K92" s="1">
        <v>32431</v>
      </c>
      <c r="L92" s="1">
        <v>26039</v>
      </c>
      <c r="M92" s="1">
        <v>19313</v>
      </c>
      <c r="N92" s="1">
        <v>0</v>
      </c>
      <c r="O92" s="2">
        <f t="shared" si="5"/>
        <v>0</v>
      </c>
      <c r="P92">
        <f t="shared" si="6"/>
        <v>0</v>
      </c>
      <c r="Q92" s="1">
        <v>340</v>
      </c>
      <c r="R92" s="1">
        <v>35172</v>
      </c>
      <c r="S92" s="1">
        <v>515858</v>
      </c>
      <c r="T92" s="1">
        <v>203353</v>
      </c>
      <c r="U92" s="1">
        <v>312505</v>
      </c>
      <c r="V92" s="1">
        <v>111440</v>
      </c>
      <c r="W92" s="1">
        <v>404418</v>
      </c>
      <c r="X92" s="1">
        <v>13641298.423930001</v>
      </c>
      <c r="Y92" s="1">
        <v>85251.462139997602</v>
      </c>
      <c r="Z92" s="1">
        <v>18161.409749997601</v>
      </c>
      <c r="AA92" s="1">
        <v>9398.5544547976206</v>
      </c>
      <c r="AB92" s="1">
        <v>81104.907680000004</v>
      </c>
      <c r="AC92" s="1">
        <v>1185167</v>
      </c>
      <c r="AD92" s="2">
        <f t="shared" si="7"/>
        <v>8.6880805856496934E-2</v>
      </c>
      <c r="AE92">
        <f t="shared" si="8"/>
        <v>0</v>
      </c>
      <c r="AF92" s="1">
        <v>552</v>
      </c>
      <c r="AG92" s="1">
        <v>95145.960999999996</v>
      </c>
      <c r="AH92" s="1">
        <v>1816790.9368100001</v>
      </c>
      <c r="AI92" s="1">
        <v>791587.79498999997</v>
      </c>
      <c r="AJ92" s="1">
        <v>1025203.14182</v>
      </c>
      <c r="AK92" s="1">
        <v>269885.02432000003</v>
      </c>
      <c r="AL92" s="1">
        <v>1546905.91249</v>
      </c>
    </row>
    <row r="93" spans="1:38" x14ac:dyDescent="0.2">
      <c r="A93">
        <v>106</v>
      </c>
      <c r="B93" t="s">
        <v>204</v>
      </c>
      <c r="C93" t="s">
        <v>660</v>
      </c>
      <c r="D93" t="s">
        <v>1033</v>
      </c>
      <c r="E93" t="s">
        <v>1205</v>
      </c>
      <c r="F93" t="s">
        <v>1306</v>
      </c>
      <c r="G93" s="7">
        <v>450</v>
      </c>
      <c r="H93" t="str">
        <f t="shared" si="9"/>
        <v>K</v>
      </c>
      <c r="I93" s="1">
        <v>3816269</v>
      </c>
      <c r="J93" s="1">
        <v>203708</v>
      </c>
      <c r="K93" s="1">
        <v>200674</v>
      </c>
      <c r="L93" s="1">
        <v>154488</v>
      </c>
      <c r="M93" s="1">
        <v>167780</v>
      </c>
      <c r="N93" s="1">
        <v>1747048</v>
      </c>
      <c r="O93" s="2">
        <f t="shared" si="5"/>
        <v>0.45778953213203788</v>
      </c>
      <c r="P93">
        <f t="shared" si="6"/>
        <v>0</v>
      </c>
      <c r="Q93" s="1">
        <v>6499</v>
      </c>
      <c r="R93" s="1">
        <v>580967</v>
      </c>
      <c r="S93" s="1">
        <v>4345081</v>
      </c>
      <c r="T93" s="1">
        <v>2406886</v>
      </c>
      <c r="U93" s="1">
        <v>1938195</v>
      </c>
      <c r="V93" s="1">
        <v>2758025</v>
      </c>
      <c r="W93" s="1">
        <v>1150515</v>
      </c>
      <c r="X93" s="1">
        <v>3833945</v>
      </c>
      <c r="Y93" s="1">
        <v>30520</v>
      </c>
      <c r="Z93" s="1">
        <v>55899</v>
      </c>
      <c r="AA93" s="1">
        <v>33931</v>
      </c>
      <c r="AB93" s="1">
        <v>183466</v>
      </c>
      <c r="AC93" s="1">
        <v>1974390</v>
      </c>
      <c r="AD93" s="2">
        <f t="shared" si="7"/>
        <v>0.51497608859803679</v>
      </c>
      <c r="AE93">
        <f t="shared" si="8"/>
        <v>1</v>
      </c>
      <c r="AF93" s="1">
        <v>4856</v>
      </c>
      <c r="AG93" s="1">
        <v>475547</v>
      </c>
      <c r="AH93" s="1">
        <v>4907769</v>
      </c>
      <c r="AI93" s="1">
        <v>2140886</v>
      </c>
      <c r="AJ93" s="1">
        <v>2766883</v>
      </c>
      <c r="AK93" s="1">
        <v>3782154</v>
      </c>
      <c r="AL93" s="1">
        <v>1125615</v>
      </c>
    </row>
    <row r="94" spans="1:38" x14ac:dyDescent="0.2">
      <c r="A94">
        <v>107</v>
      </c>
      <c r="B94" t="s">
        <v>124</v>
      </c>
      <c r="C94" t="s">
        <v>580</v>
      </c>
      <c r="D94" t="s">
        <v>966</v>
      </c>
      <c r="E94" t="s">
        <v>1164</v>
      </c>
      <c r="F94" t="s">
        <v>1301</v>
      </c>
      <c r="G94" s="7">
        <v>400</v>
      </c>
      <c r="H94" t="str">
        <f t="shared" si="9"/>
        <v>K</v>
      </c>
      <c r="I94" s="1">
        <v>3782050</v>
      </c>
      <c r="J94" s="1">
        <v>31188</v>
      </c>
      <c r="K94" s="1">
        <v>-12055.74906</v>
      </c>
      <c r="L94" s="1">
        <v>-12261.180060000001</v>
      </c>
      <c r="M94" s="1">
        <v>215933</v>
      </c>
      <c r="N94" s="1">
        <v>0</v>
      </c>
      <c r="O94" s="2">
        <f t="shared" si="5"/>
        <v>0</v>
      </c>
      <c r="P94">
        <f t="shared" si="6"/>
        <v>0</v>
      </c>
      <c r="Q94" s="1">
        <v>10646</v>
      </c>
      <c r="R94" s="1">
        <v>469148</v>
      </c>
      <c r="S94" s="1">
        <v>2160948</v>
      </c>
      <c r="T94" s="1">
        <v>1498818</v>
      </c>
      <c r="U94" s="1">
        <v>662130</v>
      </c>
      <c r="V94" s="1">
        <v>95111</v>
      </c>
      <c r="W94" s="1">
        <v>2065838.59008</v>
      </c>
      <c r="X94" s="1">
        <v>8135165</v>
      </c>
      <c r="Y94" s="1">
        <v>-3214</v>
      </c>
      <c r="Z94" s="1">
        <v>-147786</v>
      </c>
      <c r="AA94" s="1">
        <v>-136659</v>
      </c>
      <c r="AB94" s="1">
        <v>402029</v>
      </c>
      <c r="AC94" s="1">
        <v>0</v>
      </c>
      <c r="AD94" s="2">
        <f t="shared" si="7"/>
        <v>0</v>
      </c>
      <c r="AE94">
        <f t="shared" si="8"/>
        <v>0</v>
      </c>
      <c r="AF94" s="1">
        <v>12365</v>
      </c>
      <c r="AG94" s="1">
        <v>902925</v>
      </c>
      <c r="AH94" s="1">
        <v>3339105.6</v>
      </c>
      <c r="AI94" s="1">
        <v>2421043</v>
      </c>
      <c r="AJ94" s="1">
        <v>918062.6</v>
      </c>
      <c r="AK94" s="1">
        <v>79919</v>
      </c>
      <c r="AL94" s="1">
        <v>3259186</v>
      </c>
    </row>
    <row r="95" spans="1:38" x14ac:dyDescent="0.2">
      <c r="A95">
        <v>108</v>
      </c>
      <c r="B95" t="s">
        <v>214</v>
      </c>
      <c r="C95" t="s">
        <v>670</v>
      </c>
      <c r="D95" t="s">
        <v>1036</v>
      </c>
      <c r="E95" t="s">
        <v>1210</v>
      </c>
      <c r="F95" t="s">
        <v>1305</v>
      </c>
      <c r="G95" s="7">
        <v>500</v>
      </c>
      <c r="H95" t="str">
        <f t="shared" si="9"/>
        <v>Z</v>
      </c>
      <c r="I95" s="1">
        <v>3745324</v>
      </c>
      <c r="J95" s="1">
        <v>-64062</v>
      </c>
      <c r="K95" s="1">
        <v>417324</v>
      </c>
      <c r="L95" s="1">
        <v>409578</v>
      </c>
      <c r="M95" s="1">
        <v>80745</v>
      </c>
      <c r="N95" s="1">
        <v>3510858</v>
      </c>
      <c r="O95" s="2">
        <f t="shared" si="5"/>
        <v>0.93739767240431005</v>
      </c>
      <c r="P95">
        <f t="shared" si="6"/>
        <v>1</v>
      </c>
      <c r="Q95" s="1">
        <v>5835</v>
      </c>
      <c r="R95" s="1">
        <v>542485</v>
      </c>
      <c r="S95" s="1">
        <v>2220995</v>
      </c>
      <c r="T95" s="1">
        <v>982430</v>
      </c>
      <c r="U95" s="1">
        <v>1238565</v>
      </c>
      <c r="V95" s="1">
        <v>1447655</v>
      </c>
      <c r="W95" s="1">
        <v>773340</v>
      </c>
      <c r="X95" s="1">
        <v>3522941</v>
      </c>
      <c r="Y95" s="1">
        <v>-7248</v>
      </c>
      <c r="Z95" s="1">
        <v>69221</v>
      </c>
      <c r="AA95" s="1">
        <v>80989</v>
      </c>
      <c r="AB95" s="1">
        <v>75537</v>
      </c>
      <c r="AC95" s="1">
        <v>2135152</v>
      </c>
      <c r="AD95" s="2">
        <f t="shared" si="7"/>
        <v>0.60607089360849353</v>
      </c>
      <c r="AE95">
        <f t="shared" si="8"/>
        <v>1</v>
      </c>
      <c r="AF95" s="1">
        <v>2810</v>
      </c>
      <c r="AG95" s="1">
        <v>551218</v>
      </c>
      <c r="AH95" s="1">
        <v>2448302</v>
      </c>
      <c r="AI95" s="1">
        <v>1023493</v>
      </c>
      <c r="AJ95" s="1">
        <v>1424809</v>
      </c>
      <c r="AK95" s="1">
        <v>1512691</v>
      </c>
      <c r="AL95" s="1">
        <v>935611</v>
      </c>
    </row>
    <row r="96" spans="1:38" x14ac:dyDescent="0.2">
      <c r="A96">
        <v>109</v>
      </c>
      <c r="B96" t="s">
        <v>245</v>
      </c>
      <c r="C96" t="s">
        <v>701</v>
      </c>
      <c r="D96" t="s">
        <v>1048</v>
      </c>
      <c r="E96" t="s">
        <v>1221</v>
      </c>
      <c r="F96" t="s">
        <v>1310</v>
      </c>
      <c r="G96" s="7">
        <v>420</v>
      </c>
      <c r="H96" t="str">
        <f t="shared" si="9"/>
        <v>K</v>
      </c>
      <c r="I96" s="1">
        <v>3607903</v>
      </c>
      <c r="J96" s="1">
        <v>216334</v>
      </c>
      <c r="K96" s="1">
        <v>317049</v>
      </c>
      <c r="L96" s="1">
        <v>276503</v>
      </c>
      <c r="M96" s="1">
        <v>57753</v>
      </c>
      <c r="N96" s="1">
        <v>1260869</v>
      </c>
      <c r="O96" s="2">
        <f t="shared" si="5"/>
        <v>0.34947419595260737</v>
      </c>
      <c r="P96">
        <f t="shared" si="6"/>
        <v>0</v>
      </c>
      <c r="Q96" s="1">
        <v>383</v>
      </c>
      <c r="R96" s="1">
        <v>50880</v>
      </c>
      <c r="S96" s="1">
        <v>1903568</v>
      </c>
      <c r="T96" s="1">
        <v>608947</v>
      </c>
      <c r="U96" s="1">
        <v>1294621</v>
      </c>
      <c r="V96" s="1">
        <v>1183901</v>
      </c>
      <c r="W96" s="1">
        <v>719667</v>
      </c>
      <c r="X96" s="1">
        <v>3011525</v>
      </c>
      <c r="Y96" s="1">
        <v>-138398</v>
      </c>
      <c r="Z96" s="1">
        <v>18434</v>
      </c>
      <c r="AA96" s="1">
        <v>40157</v>
      </c>
      <c r="AB96" s="1">
        <v>47050</v>
      </c>
      <c r="AC96" s="1">
        <v>1090430</v>
      </c>
      <c r="AD96" s="2">
        <f t="shared" si="7"/>
        <v>0.36208565427814809</v>
      </c>
      <c r="AE96">
        <f t="shared" si="8"/>
        <v>0</v>
      </c>
      <c r="AF96" s="1">
        <v>271</v>
      </c>
      <c r="AG96" s="1">
        <v>62099</v>
      </c>
      <c r="AH96" s="1">
        <v>1809862</v>
      </c>
      <c r="AI96" s="1">
        <v>535368</v>
      </c>
      <c r="AJ96" s="1">
        <v>1274494</v>
      </c>
      <c r="AK96" s="1">
        <v>1097717</v>
      </c>
      <c r="AL96" s="1">
        <v>712145</v>
      </c>
    </row>
    <row r="97" spans="1:38" x14ac:dyDescent="0.2">
      <c r="A97">
        <v>110</v>
      </c>
      <c r="B97" t="s">
        <v>225</v>
      </c>
      <c r="C97" t="s">
        <v>681</v>
      </c>
      <c r="D97" t="s">
        <v>1024</v>
      </c>
      <c r="E97" t="s">
        <v>1192</v>
      </c>
      <c r="F97" t="s">
        <v>1306</v>
      </c>
      <c r="G97" s="7">
        <v>500</v>
      </c>
      <c r="H97" t="str">
        <f t="shared" si="9"/>
        <v>Z</v>
      </c>
      <c r="I97" s="1">
        <v>3740363</v>
      </c>
      <c r="J97" s="1">
        <v>18150</v>
      </c>
      <c r="K97" s="1">
        <v>20129</v>
      </c>
      <c r="L97" s="1">
        <v>19300</v>
      </c>
      <c r="M97" s="1">
        <v>38541</v>
      </c>
      <c r="N97" s="1">
        <v>3074268</v>
      </c>
      <c r="O97" s="2">
        <f t="shared" si="5"/>
        <v>0.82191701714512733</v>
      </c>
      <c r="P97">
        <f t="shared" si="6"/>
        <v>1</v>
      </c>
      <c r="Q97" s="1">
        <v>1508</v>
      </c>
      <c r="R97" s="1">
        <v>102506.08933</v>
      </c>
      <c r="S97" s="1">
        <v>1005061</v>
      </c>
      <c r="T97" s="1">
        <v>201189</v>
      </c>
      <c r="U97" s="1">
        <v>803872</v>
      </c>
      <c r="V97" s="1">
        <v>392164</v>
      </c>
      <c r="W97" s="1">
        <v>612897.27327000001</v>
      </c>
      <c r="X97" s="1">
        <v>3247165.3100999999</v>
      </c>
      <c r="Y97" s="1">
        <v>16734.755840000002</v>
      </c>
      <c r="Z97" s="1">
        <v>21945.692480000002</v>
      </c>
      <c r="AA97" s="1">
        <v>21178.299480000001</v>
      </c>
      <c r="AB97" s="1">
        <v>37326.318030000002</v>
      </c>
      <c r="AC97" s="1">
        <v>2719745</v>
      </c>
      <c r="AD97" s="2">
        <f t="shared" si="7"/>
        <v>0.83757515872089761</v>
      </c>
      <c r="AE97">
        <f t="shared" si="8"/>
        <v>1</v>
      </c>
      <c r="AF97" s="1">
        <v>1297</v>
      </c>
      <c r="AG97" s="1">
        <v>129284.49017</v>
      </c>
      <c r="AH97" s="1">
        <v>1020359.69132</v>
      </c>
      <c r="AI97" s="1">
        <v>215193.91065999999</v>
      </c>
      <c r="AJ97" s="1">
        <v>805165.78065999993</v>
      </c>
      <c r="AK97" s="1">
        <v>509218.56858999998</v>
      </c>
      <c r="AL97" s="1">
        <v>511141.12273</v>
      </c>
    </row>
    <row r="98" spans="1:38" x14ac:dyDescent="0.2">
      <c r="A98">
        <v>111</v>
      </c>
      <c r="B98" t="s">
        <v>136</v>
      </c>
      <c r="C98" t="s">
        <v>592</v>
      </c>
      <c r="D98" t="s">
        <v>1001</v>
      </c>
      <c r="E98" t="s">
        <v>1161</v>
      </c>
      <c r="F98" t="s">
        <v>1294</v>
      </c>
      <c r="G98" s="7">
        <v>500</v>
      </c>
      <c r="H98" t="str">
        <f t="shared" si="9"/>
        <v>Z</v>
      </c>
      <c r="I98" s="1">
        <v>3719517.5138699999</v>
      </c>
      <c r="J98" s="1">
        <v>214812.53846000001</v>
      </c>
      <c r="K98" s="1">
        <v>259636.82599000001</v>
      </c>
      <c r="L98" s="1">
        <v>196438.98126</v>
      </c>
      <c r="M98" s="1">
        <v>89229.655499999993</v>
      </c>
      <c r="N98" s="1">
        <v>0</v>
      </c>
      <c r="O98" s="2">
        <f t="shared" si="5"/>
        <v>0</v>
      </c>
      <c r="P98">
        <f t="shared" si="6"/>
        <v>0</v>
      </c>
      <c r="Q98" s="1">
        <v>6186</v>
      </c>
      <c r="R98" s="1">
        <v>489484</v>
      </c>
      <c r="S98" s="1">
        <v>3054773.0161299999</v>
      </c>
      <c r="T98" s="1">
        <v>894775.59054</v>
      </c>
      <c r="U98" s="1">
        <v>2159997.4255900001</v>
      </c>
      <c r="V98" s="1">
        <v>837970.73699</v>
      </c>
      <c r="W98" s="1">
        <v>1204388.4213</v>
      </c>
      <c r="X98" s="1">
        <v>6711766</v>
      </c>
      <c r="Y98" s="1"/>
      <c r="Z98" s="1"/>
      <c r="AA98" s="1">
        <v>220339</v>
      </c>
      <c r="AB98" s="1"/>
      <c r="AC98" s="1"/>
      <c r="AD98" s="2">
        <f t="shared" si="7"/>
        <v>0</v>
      </c>
      <c r="AE98">
        <f t="shared" si="8"/>
        <v>0</v>
      </c>
      <c r="AF98" s="1">
        <v>5061</v>
      </c>
      <c r="AG98" s="1"/>
      <c r="AH98" s="1">
        <v>4178531</v>
      </c>
      <c r="AI98" s="1"/>
      <c r="AJ98" s="1"/>
      <c r="AK98" s="1"/>
      <c r="AL98" s="1"/>
    </row>
    <row r="99" spans="1:38" x14ac:dyDescent="0.2">
      <c r="A99">
        <v>112</v>
      </c>
      <c r="B99" t="s">
        <v>142</v>
      </c>
      <c r="C99" t="s">
        <v>598</v>
      </c>
      <c r="D99" t="s">
        <v>33</v>
      </c>
      <c r="E99" t="s">
        <v>1173</v>
      </c>
      <c r="F99" t="s">
        <v>1308</v>
      </c>
      <c r="G99" s="7">
        <v>500</v>
      </c>
      <c r="H99" t="str">
        <f t="shared" si="9"/>
        <v>Z</v>
      </c>
      <c r="I99" s="1">
        <v>3676251.5942299999</v>
      </c>
      <c r="J99" s="1">
        <v>231937</v>
      </c>
      <c r="K99" s="1">
        <v>233288</v>
      </c>
      <c r="L99" s="1">
        <v>168052</v>
      </c>
      <c r="M99" s="1">
        <v>183543</v>
      </c>
      <c r="N99" s="1">
        <v>2447304</v>
      </c>
      <c r="O99" s="2">
        <f t="shared" si="5"/>
        <v>0.66570634170988885</v>
      </c>
      <c r="P99">
        <f t="shared" si="6"/>
        <v>1</v>
      </c>
      <c r="Q99" s="1">
        <v>2906</v>
      </c>
      <c r="R99" s="1">
        <v>315029.78233999998</v>
      </c>
      <c r="S99" s="1">
        <v>2952712</v>
      </c>
      <c r="T99" s="1">
        <v>1794683</v>
      </c>
      <c r="U99" s="1">
        <v>1158029</v>
      </c>
      <c r="V99" s="1">
        <v>1638411</v>
      </c>
      <c r="W99" s="1">
        <v>1314300.7704700001</v>
      </c>
      <c r="X99" s="1">
        <v>6286701.0310500003</v>
      </c>
      <c r="Y99" s="1">
        <v>221704.12070999999</v>
      </c>
      <c r="Z99" s="1">
        <v>365944.10788000003</v>
      </c>
      <c r="AA99" s="1">
        <v>280176.06787999999</v>
      </c>
      <c r="AB99" s="1">
        <v>235614.77676000001</v>
      </c>
      <c r="AC99" s="1">
        <v>4203629</v>
      </c>
      <c r="AD99" s="2">
        <f t="shared" si="7"/>
        <v>0.6686541922764081</v>
      </c>
      <c r="AE99">
        <f t="shared" si="8"/>
        <v>1</v>
      </c>
      <c r="AF99" s="1">
        <v>3293</v>
      </c>
      <c r="AG99" s="1">
        <v>719359.95505999995</v>
      </c>
      <c r="AH99" s="1">
        <v>4109493.5254000002</v>
      </c>
      <c r="AI99" s="1">
        <v>2624436.1575600002</v>
      </c>
      <c r="AJ99" s="1">
        <v>1485057.36784</v>
      </c>
      <c r="AK99" s="1">
        <v>1754889.6831799999</v>
      </c>
      <c r="AL99" s="1">
        <v>2354603.84222</v>
      </c>
    </row>
    <row r="100" spans="1:38" x14ac:dyDescent="0.2">
      <c r="A100">
        <v>113</v>
      </c>
      <c r="B100" t="s">
        <v>363</v>
      </c>
      <c r="C100" t="s">
        <v>820</v>
      </c>
      <c r="D100" t="s">
        <v>1073</v>
      </c>
      <c r="E100" t="s">
        <v>1247</v>
      </c>
      <c r="F100" t="s">
        <v>1309</v>
      </c>
      <c r="G100" s="7">
        <v>500</v>
      </c>
      <c r="H100" t="str">
        <f t="shared" si="9"/>
        <v>Z</v>
      </c>
      <c r="I100" s="1">
        <v>3639562</v>
      </c>
      <c r="J100" s="1">
        <v>120493</v>
      </c>
      <c r="K100" s="1">
        <v>116169</v>
      </c>
      <c r="L100" s="1">
        <v>112387</v>
      </c>
      <c r="M100" s="1">
        <v>15967</v>
      </c>
      <c r="N100" s="1"/>
      <c r="O100" s="2">
        <f t="shared" si="5"/>
        <v>0</v>
      </c>
      <c r="P100">
        <f t="shared" si="6"/>
        <v>0</v>
      </c>
      <c r="Q100" s="1"/>
      <c r="R100" s="1">
        <v>231027</v>
      </c>
      <c r="S100" s="1">
        <v>2143088</v>
      </c>
      <c r="T100" s="1">
        <v>208440</v>
      </c>
      <c r="U100" s="1">
        <v>1934648</v>
      </c>
      <c r="V100" s="1">
        <v>337429</v>
      </c>
      <c r="W100" s="1">
        <v>1805660</v>
      </c>
      <c r="X100" s="1">
        <v>1831648</v>
      </c>
      <c r="Y100" s="1">
        <v>70916</v>
      </c>
      <c r="Z100" s="1">
        <v>71544</v>
      </c>
      <c r="AA100" s="1">
        <v>59543</v>
      </c>
      <c r="AB100" s="1">
        <v>13422</v>
      </c>
      <c r="AC100" s="1">
        <v>575095</v>
      </c>
      <c r="AD100" s="2">
        <f t="shared" si="7"/>
        <v>0.31397681213857687</v>
      </c>
      <c r="AE100">
        <f t="shared" si="8"/>
        <v>0</v>
      </c>
      <c r="AF100" s="1">
        <v>118</v>
      </c>
      <c r="AG100" s="1">
        <v>140529</v>
      </c>
      <c r="AH100" s="1">
        <v>741524</v>
      </c>
      <c r="AI100" s="1">
        <v>144059</v>
      </c>
      <c r="AJ100" s="1">
        <v>597465</v>
      </c>
      <c r="AK100" s="1">
        <v>46674</v>
      </c>
      <c r="AL100" s="1">
        <v>694849</v>
      </c>
    </row>
    <row r="101" spans="1:38" x14ac:dyDescent="0.2">
      <c r="A101">
        <v>115</v>
      </c>
      <c r="B101" t="s">
        <v>215</v>
      </c>
      <c r="C101" t="s">
        <v>671</v>
      </c>
      <c r="D101" t="s">
        <v>988</v>
      </c>
      <c r="E101" t="s">
        <v>1148</v>
      </c>
      <c r="F101" t="s">
        <v>1310</v>
      </c>
      <c r="G101" s="7">
        <v>142</v>
      </c>
      <c r="H101" t="str">
        <f t="shared" si="9"/>
        <v>K</v>
      </c>
      <c r="I101" s="1">
        <v>3583576</v>
      </c>
      <c r="J101" s="1">
        <v>373711</v>
      </c>
      <c r="K101" s="1">
        <v>376186</v>
      </c>
      <c r="L101" s="1">
        <v>301025</v>
      </c>
      <c r="M101" s="1">
        <v>244014</v>
      </c>
      <c r="N101" s="1">
        <v>1123824</v>
      </c>
      <c r="O101" s="2">
        <f t="shared" si="5"/>
        <v>0.3136040647665907</v>
      </c>
      <c r="P101">
        <f t="shared" si="6"/>
        <v>0</v>
      </c>
      <c r="Q101" s="1">
        <v>4677</v>
      </c>
      <c r="R101" s="1">
        <v>537202</v>
      </c>
      <c r="S101" s="1">
        <v>5065612</v>
      </c>
      <c r="T101" s="1">
        <v>3197178</v>
      </c>
      <c r="U101" s="1">
        <v>1868434</v>
      </c>
      <c r="V101" s="1">
        <v>3467699</v>
      </c>
      <c r="W101" s="1">
        <v>1597913</v>
      </c>
      <c r="X101" s="1">
        <v>3480644</v>
      </c>
      <c r="Y101" s="1">
        <v>-231849</v>
      </c>
      <c r="Z101" s="1">
        <v>-326128</v>
      </c>
      <c r="AA101" s="1">
        <v>-367865</v>
      </c>
      <c r="AB101" s="1">
        <v>269757</v>
      </c>
      <c r="AC101" s="1">
        <v>724808</v>
      </c>
      <c r="AD101" s="2">
        <f t="shared" si="7"/>
        <v>0.20823962462119078</v>
      </c>
      <c r="AE101">
        <f t="shared" si="8"/>
        <v>0</v>
      </c>
      <c r="AF101" s="1">
        <v>4387</v>
      </c>
      <c r="AG101" s="1">
        <v>505665</v>
      </c>
      <c r="AH101" s="1">
        <v>6563788</v>
      </c>
      <c r="AI101" s="1">
        <v>4426324</v>
      </c>
      <c r="AJ101" s="1">
        <v>2137464</v>
      </c>
      <c r="AK101" s="1">
        <v>2979339</v>
      </c>
      <c r="AL101" s="1">
        <v>3584449</v>
      </c>
    </row>
    <row r="102" spans="1:38" x14ac:dyDescent="0.2">
      <c r="A102">
        <v>116</v>
      </c>
      <c r="B102" t="s">
        <v>195</v>
      </c>
      <c r="C102" t="s">
        <v>651</v>
      </c>
      <c r="D102" t="s">
        <v>46</v>
      </c>
      <c r="E102" t="s">
        <v>1183</v>
      </c>
      <c r="F102" t="s">
        <v>1308</v>
      </c>
      <c r="G102" s="7">
        <v>540</v>
      </c>
      <c r="H102" t="str">
        <f t="shared" si="9"/>
        <v>Z</v>
      </c>
      <c r="I102" s="1">
        <v>3569802</v>
      </c>
      <c r="J102" s="1">
        <v>324885</v>
      </c>
      <c r="K102" s="1">
        <v>296995</v>
      </c>
      <c r="L102" s="1">
        <v>239311</v>
      </c>
      <c r="M102" s="1">
        <v>184955</v>
      </c>
      <c r="N102" s="1">
        <v>92132</v>
      </c>
      <c r="O102" s="2">
        <f t="shared" si="5"/>
        <v>2.5808714320850287E-2</v>
      </c>
      <c r="P102">
        <f t="shared" si="6"/>
        <v>0</v>
      </c>
      <c r="Q102" s="1">
        <v>2298</v>
      </c>
      <c r="R102" s="1">
        <v>331270</v>
      </c>
      <c r="S102" s="1">
        <v>2581910</v>
      </c>
      <c r="T102" s="1">
        <v>1734639</v>
      </c>
      <c r="U102" s="1">
        <v>847271</v>
      </c>
      <c r="V102" s="1">
        <v>86836</v>
      </c>
      <c r="W102" s="1">
        <v>2495074</v>
      </c>
      <c r="X102" s="1">
        <v>3946874</v>
      </c>
      <c r="Y102" s="1">
        <v>271718</v>
      </c>
      <c r="Z102" s="1">
        <v>223017</v>
      </c>
      <c r="AA102" s="1">
        <v>185903</v>
      </c>
      <c r="AB102" s="1">
        <v>175891</v>
      </c>
      <c r="AC102" s="1">
        <v>71083</v>
      </c>
      <c r="AD102" s="2">
        <f t="shared" si="7"/>
        <v>1.8009949139496217E-2</v>
      </c>
      <c r="AE102">
        <f t="shared" si="8"/>
        <v>0</v>
      </c>
      <c r="AF102" s="1">
        <v>1518</v>
      </c>
      <c r="AG102" s="1">
        <v>325525</v>
      </c>
      <c r="AH102" s="1">
        <v>2589466</v>
      </c>
      <c r="AI102" s="1">
        <v>1800120</v>
      </c>
      <c r="AJ102" s="1">
        <v>789346</v>
      </c>
      <c r="AK102" s="1">
        <v>172326</v>
      </c>
      <c r="AL102" s="1">
        <v>2417140</v>
      </c>
    </row>
    <row r="103" spans="1:38" x14ac:dyDescent="0.2">
      <c r="A103">
        <v>117</v>
      </c>
      <c r="B103" t="s">
        <v>270</v>
      </c>
      <c r="C103" t="s">
        <v>726</v>
      </c>
      <c r="D103" t="s">
        <v>1010</v>
      </c>
      <c r="E103" t="s">
        <v>1172</v>
      </c>
      <c r="F103" t="s">
        <v>1306</v>
      </c>
      <c r="G103" s="7">
        <v>500</v>
      </c>
      <c r="H103" t="str">
        <f t="shared" si="9"/>
        <v>Z</v>
      </c>
      <c r="I103" s="1">
        <v>3554982</v>
      </c>
      <c r="J103" s="1">
        <v>57763</v>
      </c>
      <c r="K103" s="1">
        <v>17317</v>
      </c>
      <c r="L103" s="1">
        <v>10905</v>
      </c>
      <c r="M103" s="1">
        <v>13878</v>
      </c>
      <c r="N103" s="1">
        <v>269253</v>
      </c>
      <c r="O103" s="2">
        <f t="shared" si="5"/>
        <v>7.5739623998096195E-2</v>
      </c>
      <c r="P103">
        <f t="shared" si="6"/>
        <v>0</v>
      </c>
      <c r="Q103" s="1">
        <v>1022</v>
      </c>
      <c r="R103" s="1">
        <v>88994.356540000008</v>
      </c>
      <c r="S103" s="1">
        <v>1324073</v>
      </c>
      <c r="T103" s="1">
        <v>298955</v>
      </c>
      <c r="U103" s="1">
        <v>1025118</v>
      </c>
      <c r="V103" s="1">
        <v>209806</v>
      </c>
      <c r="W103" s="1">
        <v>1114267.1684399999</v>
      </c>
      <c r="X103" s="1">
        <v>2715963.7859499999</v>
      </c>
      <c r="Y103" s="1">
        <v>-48492.842620000003</v>
      </c>
      <c r="Z103" s="1">
        <v>-110293.67379</v>
      </c>
      <c r="AA103" s="1">
        <v>-103206.0469</v>
      </c>
      <c r="AB103" s="1">
        <v>14963.15192</v>
      </c>
      <c r="AC103" s="1">
        <v>17989</v>
      </c>
      <c r="AD103" s="2">
        <f t="shared" si="7"/>
        <v>6.623431465860927E-3</v>
      </c>
      <c r="AE103">
        <f t="shared" si="8"/>
        <v>0</v>
      </c>
      <c r="AF103" s="1">
        <v>709</v>
      </c>
      <c r="AG103" s="1">
        <v>91552.210890000002</v>
      </c>
      <c r="AH103" s="1">
        <v>1030793.8563400001</v>
      </c>
      <c r="AI103" s="1">
        <v>198535.30296999999</v>
      </c>
      <c r="AJ103" s="1">
        <v>832258.55336999998</v>
      </c>
      <c r="AK103" s="1">
        <v>6730.8829299999998</v>
      </c>
      <c r="AL103" s="1">
        <v>1024062.97341</v>
      </c>
    </row>
    <row r="104" spans="1:38" x14ac:dyDescent="0.2">
      <c r="A104">
        <v>118</v>
      </c>
      <c r="B104" t="s">
        <v>87</v>
      </c>
      <c r="C104" t="s">
        <v>543</v>
      </c>
      <c r="D104" t="s">
        <v>48</v>
      </c>
      <c r="E104" t="s">
        <v>1145</v>
      </c>
      <c r="F104" t="s">
        <v>1308</v>
      </c>
      <c r="G104" s="7">
        <v>500</v>
      </c>
      <c r="H104" t="str">
        <f t="shared" si="9"/>
        <v>Z</v>
      </c>
      <c r="I104" s="1">
        <v>7146825.1728699999</v>
      </c>
      <c r="J104" s="1">
        <v>183175.46385999999</v>
      </c>
      <c r="K104" s="1">
        <v>152595.42999</v>
      </c>
      <c r="L104" s="1">
        <v>124171.04042</v>
      </c>
      <c r="M104" s="1">
        <v>240771</v>
      </c>
      <c r="N104" s="1">
        <v>2896357</v>
      </c>
      <c r="O104" s="2">
        <f t="shared" si="5"/>
        <v>0.40526484557014703</v>
      </c>
      <c r="P104">
        <f t="shared" si="6"/>
        <v>0</v>
      </c>
      <c r="Q104" s="1">
        <v>1836</v>
      </c>
      <c r="R104" s="1">
        <v>297063.8</v>
      </c>
      <c r="S104" s="1">
        <v>3524007.2746199998</v>
      </c>
      <c r="T104" s="1">
        <v>2547535.7815800002</v>
      </c>
      <c r="U104" s="1">
        <v>976471.49303999997</v>
      </c>
      <c r="V104" s="1">
        <v>1268227.6249299999</v>
      </c>
      <c r="W104" s="1">
        <v>2255779.6496899999</v>
      </c>
      <c r="X104" s="1">
        <v>14102357.631069999</v>
      </c>
      <c r="Y104" s="1">
        <v>247672.81200999999</v>
      </c>
      <c r="Z104" s="1">
        <v>235336.77343</v>
      </c>
      <c r="AA104" s="1">
        <v>198871.14856999999</v>
      </c>
      <c r="AB104" s="1">
        <v>213234</v>
      </c>
      <c r="AC104" s="1">
        <v>4124349</v>
      </c>
      <c r="AD104" s="2">
        <f t="shared" si="7"/>
        <v>0.29245811997515414</v>
      </c>
      <c r="AE104">
        <f t="shared" si="8"/>
        <v>0</v>
      </c>
      <c r="AF104" s="1">
        <v>2465</v>
      </c>
      <c r="AG104" s="1">
        <v>526601</v>
      </c>
      <c r="AH104" s="1">
        <v>4256804.2832699995</v>
      </c>
      <c r="AI104" s="1">
        <v>2278024.6171300001</v>
      </c>
      <c r="AJ104" s="1">
        <v>1978779.6661400001</v>
      </c>
      <c r="AK104" s="1">
        <v>2101427.1126700002</v>
      </c>
      <c r="AL104" s="1">
        <v>2155377.1705999998</v>
      </c>
    </row>
    <row r="105" spans="1:38" x14ac:dyDescent="0.2">
      <c r="A105">
        <v>119</v>
      </c>
      <c r="B105" t="s">
        <v>178</v>
      </c>
      <c r="C105" t="s">
        <v>634</v>
      </c>
      <c r="D105" t="s">
        <v>1024</v>
      </c>
      <c r="E105" t="s">
        <v>1192</v>
      </c>
      <c r="F105" t="s">
        <v>1306</v>
      </c>
      <c r="G105" s="7">
        <v>400</v>
      </c>
      <c r="H105" t="str">
        <f t="shared" si="9"/>
        <v>K</v>
      </c>
      <c r="I105" s="1">
        <v>3551330</v>
      </c>
      <c r="J105" s="1">
        <v>223825</v>
      </c>
      <c r="K105" s="1">
        <v>134713</v>
      </c>
      <c r="L105" s="1">
        <v>104643</v>
      </c>
      <c r="M105" s="1">
        <v>65555</v>
      </c>
      <c r="N105" s="1">
        <v>1821309</v>
      </c>
      <c r="O105" s="2">
        <f t="shared" si="5"/>
        <v>0.51285264957072418</v>
      </c>
      <c r="P105">
        <f t="shared" si="6"/>
        <v>1</v>
      </c>
      <c r="Q105" s="1">
        <v>2922</v>
      </c>
      <c r="R105" s="1">
        <v>253560</v>
      </c>
      <c r="S105" s="1">
        <v>3144436</v>
      </c>
      <c r="T105" s="1">
        <v>1569723</v>
      </c>
      <c r="U105" s="1">
        <v>1574713</v>
      </c>
      <c r="V105" s="1">
        <v>930707</v>
      </c>
      <c r="W105" s="1">
        <v>2032859</v>
      </c>
      <c r="X105" s="1">
        <v>4366720</v>
      </c>
      <c r="Y105" s="1">
        <v>546610</v>
      </c>
      <c r="Z105" s="1">
        <v>393442</v>
      </c>
      <c r="AA105" s="1">
        <v>311759</v>
      </c>
      <c r="AB105" s="1">
        <v>97268</v>
      </c>
      <c r="AC105" s="1">
        <v>3128394</v>
      </c>
      <c r="AD105" s="2">
        <f t="shared" si="7"/>
        <v>0.71641735673457418</v>
      </c>
      <c r="AE105">
        <f t="shared" si="8"/>
        <v>1</v>
      </c>
      <c r="AF105" s="1">
        <v>2308</v>
      </c>
      <c r="AG105" s="1">
        <v>366319</v>
      </c>
      <c r="AH105" s="1">
        <v>4545078</v>
      </c>
      <c r="AI105" s="1">
        <v>2413645</v>
      </c>
      <c r="AJ105" s="1">
        <v>2131433</v>
      </c>
      <c r="AK105" s="1">
        <v>1594811</v>
      </c>
      <c r="AL105" s="1">
        <v>2950267</v>
      </c>
    </row>
    <row r="106" spans="1:38" x14ac:dyDescent="0.2">
      <c r="A106">
        <v>120</v>
      </c>
      <c r="B106" t="s">
        <v>196</v>
      </c>
      <c r="C106" t="s">
        <v>652</v>
      </c>
      <c r="D106" t="s">
        <v>1029</v>
      </c>
      <c r="E106" t="s">
        <v>1201</v>
      </c>
      <c r="F106" t="s">
        <v>1310</v>
      </c>
      <c r="G106" s="7">
        <v>400</v>
      </c>
      <c r="H106" t="str">
        <f t="shared" si="9"/>
        <v>K</v>
      </c>
      <c r="I106" s="1">
        <v>3241862</v>
      </c>
      <c r="J106" s="1">
        <v>253476</v>
      </c>
      <c r="K106" s="1">
        <v>183521</v>
      </c>
      <c r="L106" s="1">
        <v>109081</v>
      </c>
      <c r="M106" s="1">
        <v>310498</v>
      </c>
      <c r="N106" s="1">
        <v>1860097</v>
      </c>
      <c r="O106" s="2">
        <f t="shared" si="5"/>
        <v>0.57377426923169461</v>
      </c>
      <c r="P106">
        <f t="shared" si="6"/>
        <v>1</v>
      </c>
      <c r="Q106" s="1">
        <v>3705</v>
      </c>
      <c r="R106" s="1">
        <v>347076</v>
      </c>
      <c r="S106" s="1">
        <v>5046442</v>
      </c>
      <c r="T106" s="1">
        <v>3734188</v>
      </c>
      <c r="U106" s="1">
        <v>1312254</v>
      </c>
      <c r="V106" s="1">
        <v>1976779</v>
      </c>
      <c r="W106" s="1">
        <v>3069225</v>
      </c>
      <c r="X106" s="1">
        <v>3945709</v>
      </c>
      <c r="Y106" s="1">
        <v>176643</v>
      </c>
      <c r="Z106" s="1">
        <v>119463</v>
      </c>
      <c r="AA106" s="1">
        <v>113109</v>
      </c>
      <c r="AB106" s="1">
        <v>517887</v>
      </c>
      <c r="AC106" s="1">
        <v>2081483</v>
      </c>
      <c r="AD106" s="2">
        <f t="shared" si="7"/>
        <v>0.52753079357854316</v>
      </c>
      <c r="AE106">
        <f t="shared" si="8"/>
        <v>1</v>
      </c>
      <c r="AF106" s="1">
        <v>3869</v>
      </c>
      <c r="AG106" s="1">
        <v>593653</v>
      </c>
      <c r="AH106" s="1">
        <v>8558358</v>
      </c>
      <c r="AI106" s="1">
        <v>6178594</v>
      </c>
      <c r="AJ106" s="1">
        <v>2379764</v>
      </c>
      <c r="AK106" s="1">
        <v>2339189</v>
      </c>
      <c r="AL106" s="1">
        <v>6219169</v>
      </c>
    </row>
    <row r="107" spans="1:38" x14ac:dyDescent="0.2">
      <c r="A107">
        <v>121</v>
      </c>
      <c r="B107" t="s">
        <v>137</v>
      </c>
      <c r="C107" t="s">
        <v>593</v>
      </c>
      <c r="D107" t="s">
        <v>1008</v>
      </c>
      <c r="E107" t="s">
        <v>1170</v>
      </c>
      <c r="F107" t="s">
        <v>1301</v>
      </c>
      <c r="G107" s="7">
        <v>500</v>
      </c>
      <c r="H107" t="str">
        <f t="shared" si="9"/>
        <v>Z</v>
      </c>
      <c r="I107" s="1">
        <v>3547868</v>
      </c>
      <c r="J107" s="1">
        <v>125135</v>
      </c>
      <c r="K107" s="1">
        <v>118956</v>
      </c>
      <c r="L107" s="1">
        <v>95031</v>
      </c>
      <c r="M107" s="1">
        <v>76361</v>
      </c>
      <c r="N107" s="1">
        <v>39232</v>
      </c>
      <c r="O107" s="2">
        <f t="shared" si="5"/>
        <v>1.1057908580589807E-2</v>
      </c>
      <c r="P107">
        <f t="shared" si="6"/>
        <v>0</v>
      </c>
      <c r="Q107" s="1">
        <v>5342</v>
      </c>
      <c r="R107" s="1">
        <v>276533</v>
      </c>
      <c r="S107" s="1">
        <v>2776932</v>
      </c>
      <c r="T107" s="1">
        <v>2441668</v>
      </c>
      <c r="U107" s="1">
        <v>335264</v>
      </c>
      <c r="V107" s="1">
        <v>2130940</v>
      </c>
      <c r="W107" s="1">
        <v>645992</v>
      </c>
      <c r="X107" s="1">
        <v>6618376</v>
      </c>
      <c r="Y107" s="1">
        <v>48083</v>
      </c>
      <c r="Z107" s="1">
        <v>43311</v>
      </c>
      <c r="AA107" s="1">
        <v>33299</v>
      </c>
      <c r="AB107" s="1">
        <v>110446</v>
      </c>
      <c r="AC107" s="1">
        <v>31514</v>
      </c>
      <c r="AD107" s="2">
        <f t="shared" si="7"/>
        <v>4.7615910610095289E-3</v>
      </c>
      <c r="AE107">
        <f t="shared" si="8"/>
        <v>0</v>
      </c>
      <c r="AF107" s="1">
        <v>5405</v>
      </c>
      <c r="AG107" s="1">
        <v>538184</v>
      </c>
      <c r="AH107" s="1">
        <v>3463463</v>
      </c>
      <c r="AI107" s="1">
        <v>2816325</v>
      </c>
      <c r="AJ107" s="1">
        <v>647138</v>
      </c>
      <c r="AK107" s="1">
        <v>2515504</v>
      </c>
      <c r="AL107" s="1">
        <v>947959</v>
      </c>
    </row>
    <row r="108" spans="1:38" x14ac:dyDescent="0.2">
      <c r="A108">
        <v>122</v>
      </c>
      <c r="B108" t="s">
        <v>148</v>
      </c>
      <c r="C108" t="s">
        <v>604</v>
      </c>
      <c r="D108" t="s">
        <v>971</v>
      </c>
      <c r="E108" t="s">
        <v>1162</v>
      </c>
      <c r="F108" t="s">
        <v>1305</v>
      </c>
      <c r="G108" s="7">
        <v>500</v>
      </c>
      <c r="H108" t="str">
        <f t="shared" si="9"/>
        <v>Z</v>
      </c>
      <c r="I108" s="1">
        <v>3481322.0556299998</v>
      </c>
      <c r="J108" s="1">
        <v>58951.027629999997</v>
      </c>
      <c r="K108" s="1">
        <v>381.76789000000002</v>
      </c>
      <c r="L108" s="1">
        <v>-18780.650160000001</v>
      </c>
      <c r="M108" s="1">
        <v>147459.96953</v>
      </c>
      <c r="N108" s="1">
        <v>2589491.2400000002</v>
      </c>
      <c r="O108" s="2">
        <f t="shared" si="5"/>
        <v>0.74382409860997223</v>
      </c>
      <c r="P108">
        <f t="shared" si="6"/>
        <v>1</v>
      </c>
      <c r="Q108" s="1">
        <v>1961</v>
      </c>
      <c r="R108" s="1">
        <v>303897.70919000002</v>
      </c>
      <c r="S108" s="1">
        <v>2908841.1536500002</v>
      </c>
      <c r="T108" s="1">
        <v>1951014.1615899999</v>
      </c>
      <c r="U108" s="1">
        <v>957826.99205999996</v>
      </c>
      <c r="V108" s="1">
        <v>1345707.0490600001</v>
      </c>
      <c r="W108" s="1">
        <v>1563134.1045899999</v>
      </c>
      <c r="X108" s="1">
        <v>6179991.7754899999</v>
      </c>
      <c r="Y108" s="1">
        <v>202964.12390999999</v>
      </c>
      <c r="Z108" s="1">
        <v>262101.59508999999</v>
      </c>
      <c r="AA108" s="1">
        <v>233476.76311999999</v>
      </c>
      <c r="AB108" s="1">
        <v>429264.44417999999</v>
      </c>
      <c r="AC108" s="1">
        <v>5682498</v>
      </c>
      <c r="AD108" s="2">
        <f t="shared" si="7"/>
        <v>0.91949928194677011</v>
      </c>
      <c r="AE108">
        <f t="shared" si="8"/>
        <v>1</v>
      </c>
      <c r="AF108" s="1">
        <v>2866</v>
      </c>
      <c r="AG108" s="1">
        <v>452065.55041000003</v>
      </c>
      <c r="AH108" s="1">
        <v>3384316.7609199998</v>
      </c>
      <c r="AI108" s="1">
        <v>1934929.27244</v>
      </c>
      <c r="AJ108" s="1">
        <v>1449387.4884800001</v>
      </c>
      <c r="AK108" s="1">
        <v>1548592.1489899999</v>
      </c>
      <c r="AL108" s="1">
        <v>1835724.6119299999</v>
      </c>
    </row>
    <row r="109" spans="1:38" x14ac:dyDescent="0.2">
      <c r="A109">
        <v>123</v>
      </c>
      <c r="B109" t="s">
        <v>161</v>
      </c>
      <c r="C109" t="s">
        <v>617</v>
      </c>
      <c r="D109" t="s">
        <v>36</v>
      </c>
      <c r="E109" t="s">
        <v>1182</v>
      </c>
      <c r="F109" t="s">
        <v>1308</v>
      </c>
      <c r="G109" s="7">
        <v>500</v>
      </c>
      <c r="H109" t="str">
        <f t="shared" si="9"/>
        <v>Z</v>
      </c>
      <c r="I109" s="1">
        <v>3457596.9309999999</v>
      </c>
      <c r="J109" s="1">
        <v>-83507.66</v>
      </c>
      <c r="K109" s="1">
        <v>-93879.684999999998</v>
      </c>
      <c r="L109" s="1">
        <v>-86436.918999999994</v>
      </c>
      <c r="M109" s="1">
        <v>31135.325000000001</v>
      </c>
      <c r="N109" s="1">
        <v>2771125.8250199999</v>
      </c>
      <c r="O109" s="2">
        <f t="shared" si="5"/>
        <v>0.80146005457569047</v>
      </c>
      <c r="P109">
        <f t="shared" si="6"/>
        <v>1</v>
      </c>
      <c r="Q109" s="1">
        <v>3556</v>
      </c>
      <c r="R109" s="1">
        <v>236245</v>
      </c>
      <c r="S109" s="1">
        <v>1527866.7220000001</v>
      </c>
      <c r="T109" s="1">
        <v>578998.53200000001</v>
      </c>
      <c r="U109" s="1">
        <v>948868.19</v>
      </c>
      <c r="V109" s="1">
        <v>380587.49</v>
      </c>
      <c r="W109" s="1">
        <v>1147279.23</v>
      </c>
      <c r="X109" s="1">
        <v>5050179.63</v>
      </c>
      <c r="Y109" s="1">
        <v>161964.64600000001</v>
      </c>
      <c r="Z109" s="1">
        <v>187138.92</v>
      </c>
      <c r="AA109" s="1">
        <v>160103.93599999999</v>
      </c>
      <c r="AB109" s="1">
        <v>41331</v>
      </c>
      <c r="AC109" s="1">
        <v>4027322.63</v>
      </c>
      <c r="AD109" s="2">
        <f t="shared" si="7"/>
        <v>0.79746126376894833</v>
      </c>
      <c r="AE109">
        <f t="shared" si="8"/>
        <v>1</v>
      </c>
      <c r="AF109" s="1">
        <v>3179</v>
      </c>
      <c r="AG109" s="1">
        <v>335576</v>
      </c>
      <c r="AH109" s="1">
        <v>1916401.7479999999</v>
      </c>
      <c r="AI109" s="1">
        <v>626853.15399999998</v>
      </c>
      <c r="AJ109" s="1">
        <v>1289548.595</v>
      </c>
      <c r="AK109" s="1">
        <v>1043056.564</v>
      </c>
      <c r="AL109" s="1">
        <v>873345.18700000003</v>
      </c>
    </row>
    <row r="110" spans="1:38" x14ac:dyDescent="0.2">
      <c r="A110">
        <v>124</v>
      </c>
      <c r="B110" t="s">
        <v>181</v>
      </c>
      <c r="C110" t="s">
        <v>637</v>
      </c>
      <c r="D110" t="s">
        <v>999</v>
      </c>
      <c r="E110" t="s">
        <v>1159</v>
      </c>
      <c r="F110" t="s">
        <v>1306</v>
      </c>
      <c r="G110" s="7">
        <v>500</v>
      </c>
      <c r="H110" t="str">
        <f t="shared" si="9"/>
        <v>Z</v>
      </c>
      <c r="I110" s="1">
        <v>3442463</v>
      </c>
      <c r="J110" s="1">
        <v>130506</v>
      </c>
      <c r="K110" s="1">
        <v>125449</v>
      </c>
      <c r="L110" s="1">
        <v>100296</v>
      </c>
      <c r="M110" s="1">
        <v>106855</v>
      </c>
      <c r="N110" s="1">
        <v>2269407</v>
      </c>
      <c r="O110" s="2">
        <f t="shared" si="5"/>
        <v>0.65923932951494324</v>
      </c>
      <c r="P110">
        <f t="shared" si="6"/>
        <v>1</v>
      </c>
      <c r="Q110" s="1">
        <v>2473</v>
      </c>
      <c r="R110" s="1">
        <v>216891</v>
      </c>
      <c r="S110" s="1">
        <v>1380807</v>
      </c>
      <c r="T110" s="1">
        <v>548118</v>
      </c>
      <c r="U110" s="1">
        <v>832689</v>
      </c>
      <c r="V110" s="1">
        <v>675792</v>
      </c>
      <c r="W110" s="1">
        <v>705015</v>
      </c>
      <c r="X110" s="1">
        <v>4261119</v>
      </c>
      <c r="Y110" s="1">
        <v>219186</v>
      </c>
      <c r="Z110" s="1">
        <v>174811</v>
      </c>
      <c r="AA110" s="1">
        <v>141625</v>
      </c>
      <c r="AB110" s="1">
        <v>191290</v>
      </c>
      <c r="AC110" s="1">
        <v>3360698</v>
      </c>
      <c r="AD110" s="2">
        <f t="shared" si="7"/>
        <v>0.78868907439571623</v>
      </c>
      <c r="AE110">
        <f t="shared" si="8"/>
        <v>1</v>
      </c>
      <c r="AF110" s="1">
        <v>2441</v>
      </c>
      <c r="AG110" s="1">
        <v>312193</v>
      </c>
      <c r="AH110" s="1">
        <v>2555454</v>
      </c>
      <c r="AI110" s="1">
        <v>1637866</v>
      </c>
      <c r="AJ110" s="1">
        <v>917588</v>
      </c>
      <c r="AK110" s="1">
        <v>1676038</v>
      </c>
      <c r="AL110" s="1">
        <v>879416</v>
      </c>
    </row>
    <row r="111" spans="1:38" x14ac:dyDescent="0.2">
      <c r="A111">
        <v>125</v>
      </c>
      <c r="B111" t="s">
        <v>192</v>
      </c>
      <c r="C111" t="s">
        <v>648</v>
      </c>
      <c r="D111" t="s">
        <v>969</v>
      </c>
      <c r="E111" t="s">
        <v>1126</v>
      </c>
      <c r="F111" t="s">
        <v>1304</v>
      </c>
      <c r="G111" s="7">
        <v>500</v>
      </c>
      <c r="H111" t="str">
        <f t="shared" si="9"/>
        <v>Z</v>
      </c>
      <c r="I111" s="1">
        <v>3355054</v>
      </c>
      <c r="J111" s="1">
        <v>83341</v>
      </c>
      <c r="K111" s="1">
        <v>63348</v>
      </c>
      <c r="L111" s="1">
        <v>49156</v>
      </c>
      <c r="M111" s="1">
        <v>86368</v>
      </c>
      <c r="N111" s="1">
        <v>18151</v>
      </c>
      <c r="O111" s="2">
        <f t="shared" si="5"/>
        <v>5.4100470514036438E-3</v>
      </c>
      <c r="P111">
        <f t="shared" si="6"/>
        <v>0</v>
      </c>
      <c r="Q111" s="1">
        <v>4345</v>
      </c>
      <c r="R111" s="1">
        <v>265408</v>
      </c>
      <c r="S111" s="1">
        <v>2123448</v>
      </c>
      <c r="T111" s="1">
        <v>1530936</v>
      </c>
      <c r="U111" s="1">
        <v>592512</v>
      </c>
      <c r="V111" s="1">
        <v>1057410</v>
      </c>
      <c r="W111" s="1">
        <v>1066038</v>
      </c>
      <c r="X111" s="1">
        <v>4073984</v>
      </c>
      <c r="Y111" s="1">
        <v>4646</v>
      </c>
      <c r="Z111" s="1">
        <v>-40528</v>
      </c>
      <c r="AA111" s="1">
        <v>-36589</v>
      </c>
      <c r="AB111" s="1">
        <v>104852</v>
      </c>
      <c r="AC111" s="1">
        <v>14978</v>
      </c>
      <c r="AD111" s="2">
        <f t="shared" si="7"/>
        <v>3.6764994658791002E-3</v>
      </c>
      <c r="AE111">
        <f t="shared" si="8"/>
        <v>0</v>
      </c>
      <c r="AF111" s="1">
        <v>4361</v>
      </c>
      <c r="AG111" s="1">
        <v>424953</v>
      </c>
      <c r="AH111" s="1">
        <v>2467700</v>
      </c>
      <c r="AI111" s="1">
        <v>1712870</v>
      </c>
      <c r="AJ111" s="1">
        <v>754830</v>
      </c>
      <c r="AK111" s="1">
        <v>1330050</v>
      </c>
      <c r="AL111" s="1">
        <v>1137650</v>
      </c>
    </row>
    <row r="112" spans="1:38" x14ac:dyDescent="0.2">
      <c r="A112">
        <v>126</v>
      </c>
      <c r="B112" t="s">
        <v>205</v>
      </c>
      <c r="C112" t="s">
        <v>661</v>
      </c>
      <c r="D112" t="s">
        <v>52</v>
      </c>
      <c r="E112" t="s">
        <v>1206</v>
      </c>
      <c r="F112" t="s">
        <v>1306</v>
      </c>
      <c r="G112" s="7">
        <v>500</v>
      </c>
      <c r="H112" t="str">
        <f t="shared" si="9"/>
        <v>Z</v>
      </c>
      <c r="I112" s="1">
        <v>3490027</v>
      </c>
      <c r="J112" s="1">
        <v>1059486</v>
      </c>
      <c r="K112" s="1">
        <v>1033420</v>
      </c>
      <c r="L112" s="1">
        <v>835896</v>
      </c>
      <c r="M112" s="1">
        <v>196769</v>
      </c>
      <c r="N112" s="1">
        <v>2244649</v>
      </c>
      <c r="O112" s="2">
        <f t="shared" si="5"/>
        <v>0.64316092683523651</v>
      </c>
      <c r="P112">
        <f t="shared" si="6"/>
        <v>1</v>
      </c>
      <c r="Q112" s="1">
        <v>1157</v>
      </c>
      <c r="R112" s="1">
        <v>132466</v>
      </c>
      <c r="S112" s="1">
        <v>3134711</v>
      </c>
      <c r="T112" s="1">
        <v>2368628</v>
      </c>
      <c r="U112" s="1">
        <v>766083</v>
      </c>
      <c r="V112" s="1">
        <v>1485814</v>
      </c>
      <c r="W112" s="1">
        <v>1648897</v>
      </c>
      <c r="X112" s="1">
        <v>3857478</v>
      </c>
      <c r="Y112" s="1">
        <v>594102</v>
      </c>
      <c r="Z112" s="1">
        <v>528264</v>
      </c>
      <c r="AA112" s="1">
        <v>463358</v>
      </c>
      <c r="AB112" s="1">
        <v>210640</v>
      </c>
      <c r="AC112" s="1">
        <v>2657976</v>
      </c>
      <c r="AD112" s="2">
        <f t="shared" si="7"/>
        <v>0.68904501853283417</v>
      </c>
      <c r="AE112">
        <f t="shared" si="8"/>
        <v>1</v>
      </c>
      <c r="AF112" s="1">
        <v>1182</v>
      </c>
      <c r="AG112" s="1">
        <v>204671</v>
      </c>
      <c r="AH112" s="1">
        <v>3848450</v>
      </c>
      <c r="AI112" s="1">
        <v>2455071</v>
      </c>
      <c r="AJ112" s="1">
        <v>1393379</v>
      </c>
      <c r="AK112" s="1">
        <v>1425353</v>
      </c>
      <c r="AL112" s="1">
        <v>2423097</v>
      </c>
    </row>
    <row r="113" spans="1:38" x14ac:dyDescent="0.2">
      <c r="A113">
        <v>127</v>
      </c>
      <c r="B113" t="s">
        <v>164</v>
      </c>
      <c r="C113" t="s">
        <v>620</v>
      </c>
      <c r="D113" t="s">
        <v>1019</v>
      </c>
      <c r="E113" t="s">
        <v>1185</v>
      </c>
      <c r="F113" t="s">
        <v>1307</v>
      </c>
      <c r="G113" s="7">
        <v>540</v>
      </c>
      <c r="H113" t="str">
        <f t="shared" si="9"/>
        <v>Z</v>
      </c>
      <c r="I113" s="1">
        <v>3260839</v>
      </c>
      <c r="J113" s="1">
        <v>626966</v>
      </c>
      <c r="K113" s="1">
        <v>615354</v>
      </c>
      <c r="L113" s="1">
        <v>503518</v>
      </c>
      <c r="M113" s="1">
        <v>191835</v>
      </c>
      <c r="N113" s="1">
        <v>940582</v>
      </c>
      <c r="O113" s="2">
        <f t="shared" si="5"/>
        <v>0.28844785038451759</v>
      </c>
      <c r="P113">
        <f t="shared" si="6"/>
        <v>0</v>
      </c>
      <c r="Q113" s="1">
        <v>6107</v>
      </c>
      <c r="R113" s="1">
        <v>770039</v>
      </c>
      <c r="S113" s="1">
        <v>4093191</v>
      </c>
      <c r="T113" s="1">
        <v>2702221</v>
      </c>
      <c r="U113" s="1">
        <v>1390970</v>
      </c>
      <c r="V113" s="1">
        <v>1200843</v>
      </c>
      <c r="W113" s="1">
        <v>2458822</v>
      </c>
      <c r="X113" s="1">
        <v>4935776</v>
      </c>
      <c r="Y113" s="1">
        <v>1306686</v>
      </c>
      <c r="Z113" s="1">
        <v>1226958</v>
      </c>
      <c r="AA113" s="1">
        <v>1090853</v>
      </c>
      <c r="AB113" s="1">
        <v>269002</v>
      </c>
      <c r="AC113" s="1">
        <v>1783636</v>
      </c>
      <c r="AD113" s="2">
        <f t="shared" si="7"/>
        <v>0.3613689113930616</v>
      </c>
      <c r="AE113">
        <f t="shared" si="8"/>
        <v>0</v>
      </c>
      <c r="AF113" s="1">
        <v>4140</v>
      </c>
      <c r="AG113" s="1">
        <v>1005529</v>
      </c>
      <c r="AH113" s="1">
        <v>5506507</v>
      </c>
      <c r="AI113" s="1">
        <v>3008001</v>
      </c>
      <c r="AJ113" s="1">
        <v>2498506</v>
      </c>
      <c r="AK113" s="1">
        <v>3101406</v>
      </c>
      <c r="AL113" s="1">
        <v>2405101</v>
      </c>
    </row>
    <row r="114" spans="1:38" x14ac:dyDescent="0.2">
      <c r="A114">
        <v>128</v>
      </c>
      <c r="B114" t="s">
        <v>162</v>
      </c>
      <c r="C114" t="s">
        <v>618</v>
      </c>
      <c r="D114" t="s">
        <v>46</v>
      </c>
      <c r="E114" t="s">
        <v>1183</v>
      </c>
      <c r="F114" t="s">
        <v>1308</v>
      </c>
      <c r="G114" s="7">
        <v>500</v>
      </c>
      <c r="H114" t="str">
        <f t="shared" si="9"/>
        <v>Z</v>
      </c>
      <c r="I114" s="1">
        <v>4406008</v>
      </c>
      <c r="J114" s="1">
        <v>684219</v>
      </c>
      <c r="K114" s="1">
        <v>700610</v>
      </c>
      <c r="L114" s="1">
        <v>553128</v>
      </c>
      <c r="M114" s="1">
        <v>195396</v>
      </c>
      <c r="N114" s="1">
        <v>84885</v>
      </c>
      <c r="O114" s="2">
        <f t="shared" si="5"/>
        <v>1.9265738963705922E-2</v>
      </c>
      <c r="P114">
        <f t="shared" si="6"/>
        <v>0</v>
      </c>
      <c r="Q114" s="1">
        <v>2717</v>
      </c>
      <c r="R114" s="1">
        <v>360662</v>
      </c>
      <c r="S114" s="1">
        <v>2832742</v>
      </c>
      <c r="T114" s="1">
        <v>1739428</v>
      </c>
      <c r="U114" s="1">
        <v>1093314</v>
      </c>
      <c r="V114" s="1">
        <v>868611</v>
      </c>
      <c r="W114" s="1">
        <v>1464767</v>
      </c>
      <c r="X114" s="1">
        <v>5057820</v>
      </c>
      <c r="Y114" s="1">
        <v>764558</v>
      </c>
      <c r="Z114" s="1">
        <v>952439</v>
      </c>
      <c r="AA114" s="1">
        <v>786647</v>
      </c>
      <c r="AB114" s="1">
        <v>214991</v>
      </c>
      <c r="AC114" s="1">
        <v>171157</v>
      </c>
      <c r="AD114" s="2">
        <f t="shared" si="7"/>
        <v>3.3840073391302974E-2</v>
      </c>
      <c r="AE114">
        <f t="shared" si="8"/>
        <v>0</v>
      </c>
      <c r="AF114" s="1">
        <v>2609</v>
      </c>
      <c r="AG114" s="1">
        <v>472627</v>
      </c>
      <c r="AH114" s="1">
        <v>6173806</v>
      </c>
      <c r="AI114" s="1">
        <v>1963716</v>
      </c>
      <c r="AJ114" s="1">
        <v>4210090</v>
      </c>
      <c r="AK114" s="1">
        <v>3846341</v>
      </c>
      <c r="AL114" s="1">
        <v>2327465</v>
      </c>
    </row>
    <row r="115" spans="1:38" x14ac:dyDescent="0.2">
      <c r="A115">
        <v>129</v>
      </c>
      <c r="B115" t="s">
        <v>158</v>
      </c>
      <c r="C115" t="s">
        <v>614</v>
      </c>
      <c r="D115" t="s">
        <v>1017</v>
      </c>
      <c r="E115" t="s">
        <v>1181</v>
      </c>
      <c r="F115" t="s">
        <v>1306</v>
      </c>
      <c r="G115" s="7">
        <v>425</v>
      </c>
      <c r="H115" t="str">
        <f t="shared" si="9"/>
        <v>K</v>
      </c>
      <c r="I115" s="1">
        <v>3215535</v>
      </c>
      <c r="J115" s="1">
        <v>385471</v>
      </c>
      <c r="K115" s="1">
        <v>363697</v>
      </c>
      <c r="L115" s="1">
        <v>295367</v>
      </c>
      <c r="M115" s="1">
        <v>137650</v>
      </c>
      <c r="N115" s="1">
        <v>1510997</v>
      </c>
      <c r="O115" s="2">
        <f t="shared" si="5"/>
        <v>0.46990531902156252</v>
      </c>
      <c r="P115">
        <f t="shared" si="6"/>
        <v>0</v>
      </c>
      <c r="Q115" s="1">
        <v>5172.1899999999996</v>
      </c>
      <c r="R115" s="1">
        <v>456338</v>
      </c>
      <c r="S115" s="1">
        <v>2775586</v>
      </c>
      <c r="T115" s="1">
        <v>1677409</v>
      </c>
      <c r="U115" s="1">
        <v>1098177</v>
      </c>
      <c r="V115" s="1">
        <v>1476137</v>
      </c>
      <c r="W115" s="1">
        <v>1299449</v>
      </c>
      <c r="X115" s="1">
        <v>5144000</v>
      </c>
      <c r="Y115" s="1">
        <v>721000</v>
      </c>
      <c r="Z115" s="1">
        <v>649000</v>
      </c>
      <c r="AA115" s="1">
        <v>561000</v>
      </c>
      <c r="AB115" s="1">
        <v>211000</v>
      </c>
      <c r="AC115" s="1">
        <v>2523000</v>
      </c>
      <c r="AD115" s="2">
        <f t="shared" si="7"/>
        <v>0.49047433903576981</v>
      </c>
      <c r="AE115">
        <f t="shared" si="8"/>
        <v>0</v>
      </c>
      <c r="AF115" s="1">
        <v>6057</v>
      </c>
      <c r="AG115" s="1">
        <v>724000</v>
      </c>
      <c r="AH115" s="1">
        <v>4221000</v>
      </c>
      <c r="AI115" s="1">
        <v>2573000</v>
      </c>
      <c r="AJ115" s="1">
        <v>1648000</v>
      </c>
      <c r="AK115" s="1">
        <v>1937000</v>
      </c>
      <c r="AL115" s="1">
        <v>2284000</v>
      </c>
    </row>
    <row r="116" spans="1:38" x14ac:dyDescent="0.2">
      <c r="A116">
        <v>130</v>
      </c>
      <c r="B116" t="s">
        <v>141</v>
      </c>
      <c r="C116" t="s">
        <v>597</v>
      </c>
      <c r="D116" t="s">
        <v>1010</v>
      </c>
      <c r="E116" t="s">
        <v>1172</v>
      </c>
      <c r="F116" t="s">
        <v>1304</v>
      </c>
      <c r="G116" s="7">
        <v>240</v>
      </c>
      <c r="H116" t="str">
        <f t="shared" si="9"/>
        <v>K</v>
      </c>
      <c r="I116" s="1">
        <v>3189698</v>
      </c>
      <c r="J116" s="1">
        <v>32789.599999999999</v>
      </c>
      <c r="K116" s="1">
        <v>31067</v>
      </c>
      <c r="L116" s="1">
        <v>22607</v>
      </c>
      <c r="M116" s="1">
        <v>21855</v>
      </c>
      <c r="N116" s="1">
        <v>70362</v>
      </c>
      <c r="O116" s="2">
        <f t="shared" si="5"/>
        <v>2.2059141649146723E-2</v>
      </c>
      <c r="P116">
        <f t="shared" si="6"/>
        <v>0</v>
      </c>
      <c r="Q116" s="1">
        <v>789</v>
      </c>
      <c r="R116" s="1">
        <v>75544</v>
      </c>
      <c r="S116" s="1">
        <v>777791</v>
      </c>
      <c r="T116" s="1">
        <v>240619</v>
      </c>
      <c r="U116" s="1">
        <v>537172</v>
      </c>
      <c r="V116" s="1">
        <v>381717</v>
      </c>
      <c r="W116" s="1">
        <v>395073</v>
      </c>
      <c r="X116" s="1">
        <v>6390908</v>
      </c>
      <c r="Y116" s="1">
        <v>9115.7000000000007</v>
      </c>
      <c r="Z116" s="1">
        <v>6314</v>
      </c>
      <c r="AA116" s="1">
        <v>715</v>
      </c>
      <c r="AB116" s="1">
        <v>22218</v>
      </c>
      <c r="AC116" s="1">
        <v>68182</v>
      </c>
      <c r="AD116" s="2">
        <f t="shared" si="7"/>
        <v>1.0668593570741434E-2</v>
      </c>
      <c r="AE116">
        <f t="shared" si="8"/>
        <v>0</v>
      </c>
      <c r="AF116" s="1">
        <v>783</v>
      </c>
      <c r="AG116" s="1">
        <v>111382</v>
      </c>
      <c r="AH116" s="1">
        <v>914221</v>
      </c>
      <c r="AI116" s="1">
        <v>281927</v>
      </c>
      <c r="AJ116" s="1">
        <v>632294</v>
      </c>
      <c r="AK116" s="1">
        <v>464427</v>
      </c>
      <c r="AL116" s="1">
        <v>447054</v>
      </c>
    </row>
    <row r="117" spans="1:38" x14ac:dyDescent="0.2">
      <c r="A117">
        <v>131</v>
      </c>
      <c r="B117" t="s">
        <v>151</v>
      </c>
      <c r="C117" t="s">
        <v>607</v>
      </c>
      <c r="D117" t="s">
        <v>1013</v>
      </c>
      <c r="E117" t="s">
        <v>1176</v>
      </c>
      <c r="F117" t="s">
        <v>1302</v>
      </c>
      <c r="G117" s="7">
        <v>120</v>
      </c>
      <c r="H117" t="str">
        <f t="shared" si="9"/>
        <v>K</v>
      </c>
      <c r="I117" s="1">
        <v>3153877</v>
      </c>
      <c r="J117" s="1">
        <v>138559</v>
      </c>
      <c r="K117" s="1">
        <v>70606</v>
      </c>
      <c r="L117" s="1">
        <v>55363</v>
      </c>
      <c r="M117" s="1">
        <v>285553</v>
      </c>
      <c r="N117" s="1">
        <v>0</v>
      </c>
      <c r="O117" s="2">
        <f t="shared" si="5"/>
        <v>0</v>
      </c>
      <c r="P117">
        <f t="shared" si="6"/>
        <v>0</v>
      </c>
      <c r="Q117" s="1">
        <v>3126</v>
      </c>
      <c r="R117" s="1">
        <v>323561</v>
      </c>
      <c r="S117" s="1">
        <v>5444673</v>
      </c>
      <c r="T117" s="1">
        <v>4354253</v>
      </c>
      <c r="U117" s="1">
        <v>1090420</v>
      </c>
      <c r="V117" s="1">
        <v>1436505</v>
      </c>
      <c r="W117" s="1">
        <v>4008168</v>
      </c>
      <c r="X117" s="1">
        <v>5606524</v>
      </c>
      <c r="Y117" s="1">
        <v>600511</v>
      </c>
      <c r="Z117" s="1">
        <v>293853</v>
      </c>
      <c r="AA117" s="1">
        <v>227789</v>
      </c>
      <c r="AB117" s="1">
        <v>442555</v>
      </c>
      <c r="AC117" s="1">
        <v>0</v>
      </c>
      <c r="AD117" s="2">
        <f t="shared" si="7"/>
        <v>0</v>
      </c>
      <c r="AE117">
        <f t="shared" si="8"/>
        <v>0</v>
      </c>
      <c r="AF117" s="1">
        <v>2533</v>
      </c>
      <c r="AG117" s="1">
        <v>1481252</v>
      </c>
      <c r="AH117" s="1">
        <v>8389557</v>
      </c>
      <c r="AI117" s="1">
        <v>6921435</v>
      </c>
      <c r="AJ117" s="1">
        <v>1468122</v>
      </c>
      <c r="AK117" s="1">
        <v>2573257</v>
      </c>
      <c r="AL117" s="1">
        <v>5816329</v>
      </c>
    </row>
    <row r="118" spans="1:38" x14ac:dyDescent="0.2">
      <c r="A118">
        <v>133</v>
      </c>
      <c r="B118" t="s">
        <v>78</v>
      </c>
      <c r="C118" t="s">
        <v>534</v>
      </c>
      <c r="D118" t="s">
        <v>980</v>
      </c>
      <c r="E118" t="s">
        <v>1137</v>
      </c>
      <c r="F118" t="s">
        <v>1308</v>
      </c>
      <c r="G118" s="7">
        <v>500</v>
      </c>
      <c r="H118" t="str">
        <f t="shared" si="9"/>
        <v>Z</v>
      </c>
      <c r="I118" s="1">
        <v>11354783</v>
      </c>
      <c r="J118" s="1">
        <v>1042714</v>
      </c>
      <c r="K118" s="1">
        <v>1068309</v>
      </c>
      <c r="L118" s="1">
        <v>856676</v>
      </c>
      <c r="M118" s="1">
        <v>8421</v>
      </c>
      <c r="N118" s="1">
        <v>30545</v>
      </c>
      <c r="O118" s="2">
        <f t="shared" si="5"/>
        <v>2.6900558117226897E-3</v>
      </c>
      <c r="P118">
        <f t="shared" si="6"/>
        <v>0</v>
      </c>
      <c r="Q118" s="1">
        <v>646</v>
      </c>
      <c r="R118" s="1">
        <v>145338</v>
      </c>
      <c r="S118" s="1">
        <v>1622445</v>
      </c>
      <c r="T118" s="1">
        <v>64172</v>
      </c>
      <c r="U118" s="1">
        <v>1558273</v>
      </c>
      <c r="V118" s="1">
        <v>543450</v>
      </c>
      <c r="W118" s="1">
        <v>1078995</v>
      </c>
      <c r="X118" s="1">
        <v>17289194</v>
      </c>
      <c r="Y118" s="1">
        <v>790562</v>
      </c>
      <c r="Z118" s="1">
        <v>896499</v>
      </c>
      <c r="AA118" s="1">
        <v>738683</v>
      </c>
      <c r="AB118" s="1">
        <v>4492</v>
      </c>
      <c r="AC118" s="1">
        <v>64345</v>
      </c>
      <c r="AD118" s="2">
        <f t="shared" si="7"/>
        <v>3.7216888190392218E-3</v>
      </c>
      <c r="AE118">
        <f t="shared" si="8"/>
        <v>0</v>
      </c>
      <c r="AF118" s="1">
        <v>756</v>
      </c>
      <c r="AG118" s="1">
        <v>224614</v>
      </c>
      <c r="AH118" s="1">
        <v>3027374</v>
      </c>
      <c r="AI118" s="1">
        <v>80794</v>
      </c>
      <c r="AJ118" s="1">
        <v>2946580</v>
      </c>
      <c r="AK118" s="1">
        <v>590483</v>
      </c>
      <c r="AL118" s="1">
        <v>2436891</v>
      </c>
    </row>
    <row r="119" spans="1:38" x14ac:dyDescent="0.2">
      <c r="A119">
        <v>134</v>
      </c>
      <c r="B119" t="s">
        <v>217</v>
      </c>
      <c r="C119" t="s">
        <v>673</v>
      </c>
      <c r="D119" t="s">
        <v>1037</v>
      </c>
      <c r="E119" t="s">
        <v>1211</v>
      </c>
      <c r="F119" t="s">
        <v>1306</v>
      </c>
      <c r="G119" s="7">
        <v>540</v>
      </c>
      <c r="H119" t="str">
        <f t="shared" si="9"/>
        <v>Z</v>
      </c>
      <c r="I119" s="1">
        <v>3117118</v>
      </c>
      <c r="J119" s="1">
        <v>191422</v>
      </c>
      <c r="K119" s="1">
        <v>157931</v>
      </c>
      <c r="L119" s="1">
        <v>124681</v>
      </c>
      <c r="M119" s="1">
        <v>86609</v>
      </c>
      <c r="N119" s="1">
        <v>2750203</v>
      </c>
      <c r="O119" s="2">
        <f t="shared" si="5"/>
        <v>0.88229030790621332</v>
      </c>
      <c r="P119">
        <f t="shared" si="6"/>
        <v>1</v>
      </c>
      <c r="Q119" s="1">
        <v>1498</v>
      </c>
      <c r="R119" s="1">
        <v>390751</v>
      </c>
      <c r="S119" s="1">
        <v>2035753</v>
      </c>
      <c r="T119" s="1">
        <v>1080905</v>
      </c>
      <c r="U119" s="1">
        <v>954848</v>
      </c>
      <c r="V119" s="1">
        <v>870528</v>
      </c>
      <c r="W119" s="1">
        <v>1165225</v>
      </c>
      <c r="X119" s="1">
        <v>3434693</v>
      </c>
      <c r="Y119" s="1">
        <v>184294</v>
      </c>
      <c r="Z119" s="1">
        <v>192449</v>
      </c>
      <c r="AA119" s="1">
        <v>161105</v>
      </c>
      <c r="AB119" s="1">
        <v>114302</v>
      </c>
      <c r="AC119" s="1">
        <v>3008017</v>
      </c>
      <c r="AD119" s="2">
        <f t="shared" si="7"/>
        <v>0.87577463255085675</v>
      </c>
      <c r="AE119">
        <f t="shared" si="8"/>
        <v>1</v>
      </c>
      <c r="AF119" s="1">
        <v>1490</v>
      </c>
      <c r="AG119" s="1">
        <v>447197</v>
      </c>
      <c r="AH119" s="1">
        <v>2756963</v>
      </c>
      <c r="AI119" s="1">
        <v>1492327</v>
      </c>
      <c r="AJ119" s="1">
        <v>1264636</v>
      </c>
      <c r="AK119" s="1">
        <v>1768723</v>
      </c>
      <c r="AL119" s="1">
        <v>988240</v>
      </c>
    </row>
    <row r="120" spans="1:38" x14ac:dyDescent="0.2">
      <c r="A120">
        <v>135</v>
      </c>
      <c r="B120" t="s">
        <v>231</v>
      </c>
      <c r="C120" t="s">
        <v>687</v>
      </c>
      <c r="D120" t="s">
        <v>975</v>
      </c>
      <c r="E120" t="s">
        <v>1132</v>
      </c>
      <c r="F120" t="s">
        <v>1303</v>
      </c>
      <c r="G120" s="7">
        <v>500</v>
      </c>
      <c r="H120" t="str">
        <f t="shared" si="9"/>
        <v>Z</v>
      </c>
      <c r="I120" s="1">
        <v>3111367</v>
      </c>
      <c r="J120" s="1">
        <v>250716</v>
      </c>
      <c r="K120" s="1">
        <v>238960</v>
      </c>
      <c r="L120" s="1">
        <v>190631</v>
      </c>
      <c r="M120" s="1">
        <v>100311</v>
      </c>
      <c r="N120" s="1">
        <v>645417</v>
      </c>
      <c r="O120" s="2">
        <f t="shared" si="5"/>
        <v>0.20743840247711054</v>
      </c>
      <c r="P120">
        <f t="shared" si="6"/>
        <v>0</v>
      </c>
      <c r="Q120" s="1">
        <v>2105</v>
      </c>
      <c r="R120" s="1">
        <v>238919</v>
      </c>
      <c r="S120" s="1">
        <v>1847352</v>
      </c>
      <c r="T120" s="1">
        <v>719674</v>
      </c>
      <c r="U120" s="1">
        <v>1127678</v>
      </c>
      <c r="V120" s="1">
        <v>1232825</v>
      </c>
      <c r="W120" s="1">
        <v>614527</v>
      </c>
      <c r="X120" s="1">
        <v>3215203</v>
      </c>
      <c r="Y120" s="1">
        <v>-62559</v>
      </c>
      <c r="Z120" s="1">
        <v>-40547</v>
      </c>
      <c r="AA120" s="1">
        <v>-39148</v>
      </c>
      <c r="AB120" s="1">
        <v>154164</v>
      </c>
      <c r="AC120" s="1">
        <v>1111949</v>
      </c>
      <c r="AD120" s="2">
        <f t="shared" si="7"/>
        <v>0.34584099355468378</v>
      </c>
      <c r="AE120">
        <f t="shared" si="8"/>
        <v>0</v>
      </c>
      <c r="AF120" s="1">
        <v>2062</v>
      </c>
      <c r="AG120" s="1">
        <v>426497</v>
      </c>
      <c r="AH120" s="1">
        <v>3246061</v>
      </c>
      <c r="AI120" s="1">
        <v>1402712</v>
      </c>
      <c r="AJ120" s="1">
        <v>1843349</v>
      </c>
      <c r="AK120" s="1">
        <v>2870721</v>
      </c>
      <c r="AL120" s="1">
        <v>375339</v>
      </c>
    </row>
    <row r="121" spans="1:38" x14ac:dyDescent="0.2">
      <c r="A121">
        <v>136</v>
      </c>
      <c r="B121" t="s">
        <v>216</v>
      </c>
      <c r="C121" t="s">
        <v>672</v>
      </c>
      <c r="D121" t="s">
        <v>974</v>
      </c>
      <c r="E121" t="s">
        <v>1131</v>
      </c>
      <c r="F121" t="s">
        <v>1305</v>
      </c>
      <c r="G121" s="7">
        <v>500</v>
      </c>
      <c r="H121" t="str">
        <f t="shared" si="9"/>
        <v>Z</v>
      </c>
      <c r="I121" s="1">
        <v>3091987</v>
      </c>
      <c r="J121" s="1">
        <v>34938</v>
      </c>
      <c r="K121" s="1">
        <v>5095</v>
      </c>
      <c r="L121" s="1">
        <v>-1545</v>
      </c>
      <c r="M121" s="1">
        <v>107</v>
      </c>
      <c r="N121" s="1">
        <v>2512</v>
      </c>
      <c r="O121" s="2">
        <f t="shared" si="5"/>
        <v>8.1242256193185807E-4</v>
      </c>
      <c r="P121">
        <f t="shared" si="6"/>
        <v>0</v>
      </c>
      <c r="Q121" s="1">
        <v>65</v>
      </c>
      <c r="R121" s="1">
        <v>12228</v>
      </c>
      <c r="S121" s="1">
        <v>577099</v>
      </c>
      <c r="T121" s="1">
        <v>58403</v>
      </c>
      <c r="U121" s="1">
        <v>518696</v>
      </c>
      <c r="V121" s="1">
        <v>20226</v>
      </c>
      <c r="W121" s="1">
        <v>556872.46799999999</v>
      </c>
      <c r="X121" s="1">
        <v>3453957.96</v>
      </c>
      <c r="Y121" s="1">
        <v>45764.686999999998</v>
      </c>
      <c r="Z121" s="1">
        <v>23483.81</v>
      </c>
      <c r="AA121" s="1">
        <v>32452.190999999999</v>
      </c>
      <c r="AB121" s="1">
        <v>84.953000000000003</v>
      </c>
      <c r="AC121" s="1">
        <v>25405</v>
      </c>
      <c r="AD121" s="2">
        <f t="shared" si="7"/>
        <v>7.3553298257283944E-3</v>
      </c>
      <c r="AE121">
        <f t="shared" si="8"/>
        <v>0</v>
      </c>
      <c r="AF121" s="1">
        <v>73</v>
      </c>
      <c r="AG121" s="1">
        <v>17103.075000000001</v>
      </c>
      <c r="AH121" s="1">
        <v>825266.97600000002</v>
      </c>
      <c r="AI121" s="1">
        <v>356565.70299999998</v>
      </c>
      <c r="AJ121" s="1">
        <v>468701.27299999999</v>
      </c>
      <c r="AK121" s="1">
        <v>100287.952</v>
      </c>
      <c r="AL121" s="1">
        <v>724979.02399999998</v>
      </c>
    </row>
    <row r="122" spans="1:38" x14ac:dyDescent="0.2">
      <c r="A122">
        <v>137</v>
      </c>
      <c r="B122" t="s">
        <v>319</v>
      </c>
      <c r="C122" t="s">
        <v>775</v>
      </c>
      <c r="D122" t="s">
        <v>965</v>
      </c>
      <c r="E122" t="s">
        <v>1122</v>
      </c>
      <c r="F122" t="s">
        <v>1302</v>
      </c>
      <c r="G122" s="7">
        <v>400</v>
      </c>
      <c r="H122" t="str">
        <f t="shared" si="9"/>
        <v>K</v>
      </c>
      <c r="I122" s="1">
        <v>3078120</v>
      </c>
      <c r="J122" s="1">
        <v>-418092</v>
      </c>
      <c r="K122" s="1">
        <v>-470644</v>
      </c>
      <c r="L122" s="1">
        <v>-480167</v>
      </c>
      <c r="M122" s="1">
        <v>189860</v>
      </c>
      <c r="N122" s="1">
        <v>39592</v>
      </c>
      <c r="O122" s="2">
        <f t="shared" si="5"/>
        <v>1.2862396527750704E-2</v>
      </c>
      <c r="P122">
        <f t="shared" si="6"/>
        <v>0</v>
      </c>
      <c r="Q122" s="1">
        <v>4818</v>
      </c>
      <c r="R122" s="1">
        <v>446452</v>
      </c>
      <c r="S122" s="1">
        <v>7090468</v>
      </c>
      <c r="T122" s="1">
        <v>5156070</v>
      </c>
      <c r="U122" s="1">
        <v>1934398</v>
      </c>
      <c r="V122" s="1">
        <v>2527149</v>
      </c>
      <c r="W122" s="1">
        <v>4563319</v>
      </c>
      <c r="X122" s="1">
        <v>2264930</v>
      </c>
      <c r="Y122" s="1">
        <v>190841</v>
      </c>
      <c r="Z122" s="1">
        <v>158077</v>
      </c>
      <c r="AA122" s="1">
        <v>173140</v>
      </c>
      <c r="AB122" s="1">
        <v>24040</v>
      </c>
      <c r="AC122" s="1">
        <v>72808</v>
      </c>
      <c r="AD122" s="2">
        <f t="shared" si="7"/>
        <v>3.2145805830643776E-2</v>
      </c>
      <c r="AE122">
        <f t="shared" si="8"/>
        <v>0</v>
      </c>
      <c r="AF122" s="1">
        <v>2603</v>
      </c>
      <c r="AG122" s="1">
        <v>379941</v>
      </c>
      <c r="AH122" s="1">
        <v>6519880</v>
      </c>
      <c r="AI122" s="1">
        <v>4046467</v>
      </c>
      <c r="AJ122" s="1">
        <v>2473413</v>
      </c>
      <c r="AK122" s="1">
        <v>3894839</v>
      </c>
      <c r="AL122" s="1">
        <v>2625041</v>
      </c>
    </row>
    <row r="123" spans="1:38" x14ac:dyDescent="0.2">
      <c r="A123">
        <v>138</v>
      </c>
      <c r="B123" t="s">
        <v>325</v>
      </c>
      <c r="C123" t="s">
        <v>782</v>
      </c>
      <c r="D123" t="s">
        <v>1074</v>
      </c>
      <c r="E123" t="s">
        <v>1249</v>
      </c>
      <c r="F123" t="s">
        <v>1304</v>
      </c>
      <c r="G123" s="7">
        <v>500</v>
      </c>
      <c r="H123" t="str">
        <f t="shared" si="9"/>
        <v>Z</v>
      </c>
      <c r="I123" s="1">
        <v>3069681</v>
      </c>
      <c r="J123" s="1">
        <v>43906</v>
      </c>
      <c r="K123" s="1">
        <v>42712</v>
      </c>
      <c r="L123" s="1">
        <v>46063</v>
      </c>
      <c r="M123" s="1">
        <v>10788</v>
      </c>
      <c r="N123" s="1">
        <v>180890</v>
      </c>
      <c r="O123" s="2">
        <f t="shared" si="5"/>
        <v>5.8927947236211191E-2</v>
      </c>
      <c r="P123">
        <f t="shared" si="6"/>
        <v>0</v>
      </c>
      <c r="Q123" s="1">
        <v>715</v>
      </c>
      <c r="R123" s="1">
        <v>150689</v>
      </c>
      <c r="S123" s="1">
        <v>693687</v>
      </c>
      <c r="T123" s="1">
        <v>250288</v>
      </c>
      <c r="U123" s="1">
        <v>443399</v>
      </c>
      <c r="V123" s="1">
        <v>116283</v>
      </c>
      <c r="W123" s="1">
        <v>577404.38500000001</v>
      </c>
      <c r="X123" s="1">
        <v>2231084.4750000001</v>
      </c>
      <c r="Y123" s="1">
        <v>182159.82399999999</v>
      </c>
      <c r="Z123" s="1">
        <v>235284.89799999999</v>
      </c>
      <c r="AA123" s="1">
        <v>188743.02299999999</v>
      </c>
      <c r="AB123" s="1">
        <v>10922.532999999999</v>
      </c>
      <c r="AC123" s="1">
        <v>65337</v>
      </c>
      <c r="AD123" s="2">
        <f t="shared" si="7"/>
        <v>2.9284861569394409E-2</v>
      </c>
      <c r="AE123">
        <f t="shared" si="8"/>
        <v>0</v>
      </c>
      <c r="AF123" s="1">
        <v>501</v>
      </c>
      <c r="AG123" s="1">
        <v>143751.56200000001</v>
      </c>
      <c r="AH123" s="1">
        <v>1478745.9469999999</v>
      </c>
      <c r="AI123" s="1">
        <v>174715.633</v>
      </c>
      <c r="AJ123" s="1">
        <v>1304030.314</v>
      </c>
      <c r="AK123" s="1">
        <v>883441.17299999995</v>
      </c>
      <c r="AL123" s="1">
        <v>595304.77399999998</v>
      </c>
    </row>
    <row r="124" spans="1:38" x14ac:dyDescent="0.2">
      <c r="A124">
        <v>139</v>
      </c>
      <c r="B124" t="s">
        <v>198</v>
      </c>
      <c r="C124" t="s">
        <v>654</v>
      </c>
      <c r="D124" t="s">
        <v>1030</v>
      </c>
      <c r="E124" t="s">
        <v>1202</v>
      </c>
      <c r="F124" t="s">
        <v>1294</v>
      </c>
      <c r="G124" s="7">
        <v>500</v>
      </c>
      <c r="H124" t="str">
        <f t="shared" si="9"/>
        <v>Z</v>
      </c>
      <c r="I124" s="1">
        <v>3038886</v>
      </c>
      <c r="J124" s="1">
        <v>254242</v>
      </c>
      <c r="K124" s="1">
        <v>180895</v>
      </c>
      <c r="L124" s="1">
        <v>190047</v>
      </c>
      <c r="M124" s="1">
        <v>302349</v>
      </c>
      <c r="N124" s="1">
        <v>2488731</v>
      </c>
      <c r="O124" s="2">
        <f t="shared" si="5"/>
        <v>0.81896161948819401</v>
      </c>
      <c r="P124">
        <f t="shared" si="6"/>
        <v>1</v>
      </c>
      <c r="Q124" s="1">
        <v>4232</v>
      </c>
      <c r="R124" s="1">
        <v>406422</v>
      </c>
      <c r="S124" s="1">
        <v>5203355</v>
      </c>
      <c r="T124" s="1">
        <v>2933403</v>
      </c>
      <c r="U124" s="1">
        <v>2269952</v>
      </c>
      <c r="V124" s="1">
        <v>2394379</v>
      </c>
      <c r="W124" s="1">
        <v>2808976</v>
      </c>
      <c r="X124" s="1">
        <v>3942586</v>
      </c>
      <c r="Y124" s="1">
        <v>-36154</v>
      </c>
      <c r="Z124" s="1">
        <v>-74512</v>
      </c>
      <c r="AA124" s="1">
        <v>-71620</v>
      </c>
      <c r="AB124" s="1">
        <v>355055</v>
      </c>
      <c r="AC124" s="1">
        <v>3353293</v>
      </c>
      <c r="AD124" s="2">
        <f t="shared" si="7"/>
        <v>0.85053135175745054</v>
      </c>
      <c r="AE124">
        <f t="shared" si="8"/>
        <v>1</v>
      </c>
      <c r="AF124" s="1">
        <v>4682</v>
      </c>
      <c r="AG124" s="1">
        <v>597206</v>
      </c>
      <c r="AH124" s="1">
        <v>4296060</v>
      </c>
      <c r="AI124" s="1">
        <v>2137400</v>
      </c>
      <c r="AJ124" s="1">
        <v>2158660</v>
      </c>
      <c r="AK124" s="1">
        <v>2805271</v>
      </c>
      <c r="AL124" s="1">
        <v>1490789</v>
      </c>
    </row>
    <row r="125" spans="1:38" x14ac:dyDescent="0.2">
      <c r="A125">
        <v>140</v>
      </c>
      <c r="B125" t="s">
        <v>155</v>
      </c>
      <c r="C125" t="s">
        <v>611</v>
      </c>
      <c r="D125" t="s">
        <v>964</v>
      </c>
      <c r="E125" t="s">
        <v>1121</v>
      </c>
      <c r="F125" t="s">
        <v>1220</v>
      </c>
      <c r="G125" s="7">
        <v>400</v>
      </c>
      <c r="H125" t="str">
        <f t="shared" si="9"/>
        <v>K</v>
      </c>
      <c r="I125" s="1">
        <v>3025458</v>
      </c>
      <c r="J125" s="1">
        <v>56053</v>
      </c>
      <c r="K125" s="1">
        <v>44393</v>
      </c>
      <c r="L125" s="1">
        <v>205331</v>
      </c>
      <c r="M125" s="1">
        <v>20531</v>
      </c>
      <c r="N125" s="1">
        <v>0</v>
      </c>
      <c r="O125" s="2">
        <f t="shared" si="5"/>
        <v>0</v>
      </c>
      <c r="P125">
        <f t="shared" si="6"/>
        <v>0</v>
      </c>
      <c r="Q125" s="1">
        <v>2864</v>
      </c>
      <c r="R125" s="1">
        <v>240068</v>
      </c>
      <c r="S125" s="1">
        <v>564506.5</v>
      </c>
      <c r="T125" s="1">
        <v>352869.5</v>
      </c>
      <c r="U125" s="1">
        <v>211637</v>
      </c>
      <c r="V125" s="1">
        <v>330228</v>
      </c>
      <c r="W125" s="1">
        <v>186238</v>
      </c>
      <c r="X125" s="1">
        <v>5379099</v>
      </c>
      <c r="Y125" s="1">
        <v>18826</v>
      </c>
      <c r="Z125" s="1">
        <v>37223</v>
      </c>
      <c r="AA125" s="1">
        <v>28227</v>
      </c>
      <c r="AB125" s="1">
        <v>46756</v>
      </c>
      <c r="AC125" s="1">
        <v>40311</v>
      </c>
      <c r="AD125" s="2">
        <f t="shared" si="7"/>
        <v>7.4940059664267197E-3</v>
      </c>
      <c r="AE125">
        <f t="shared" si="8"/>
        <v>0</v>
      </c>
      <c r="AF125" s="1">
        <v>3023</v>
      </c>
      <c r="AG125" s="1">
        <v>379090</v>
      </c>
      <c r="AH125" s="1">
        <v>809870</v>
      </c>
      <c r="AI125" s="1">
        <v>562215</v>
      </c>
      <c r="AJ125" s="1">
        <v>247655</v>
      </c>
      <c r="AK125" s="1">
        <v>483562</v>
      </c>
      <c r="AL125" s="1">
        <v>281921</v>
      </c>
    </row>
    <row r="126" spans="1:38" x14ac:dyDescent="0.2">
      <c r="A126">
        <v>141</v>
      </c>
      <c r="B126" t="s">
        <v>281</v>
      </c>
      <c r="C126" t="s">
        <v>737</v>
      </c>
      <c r="D126" t="s">
        <v>999</v>
      </c>
      <c r="E126" t="s">
        <v>1159</v>
      </c>
      <c r="F126" t="s">
        <v>1306</v>
      </c>
      <c r="G126" s="7">
        <v>450</v>
      </c>
      <c r="H126" t="str">
        <f t="shared" si="9"/>
        <v>K</v>
      </c>
      <c r="I126" s="1">
        <v>2943200</v>
      </c>
      <c r="J126" s="1">
        <v>166000.00000000049</v>
      </c>
      <c r="K126" s="1">
        <v>144484</v>
      </c>
      <c r="L126" s="1">
        <v>109600.00000000039</v>
      </c>
      <c r="M126" s="1">
        <v>55400</v>
      </c>
      <c r="N126" s="1">
        <v>2109271.7848230312</v>
      </c>
      <c r="O126" s="2">
        <f t="shared" si="5"/>
        <v>0.71665934521032593</v>
      </c>
      <c r="P126">
        <f t="shared" si="6"/>
        <v>1</v>
      </c>
      <c r="Q126" s="1">
        <v>2969</v>
      </c>
      <c r="R126" s="1">
        <v>329500</v>
      </c>
      <c r="S126" s="1">
        <v>1873000</v>
      </c>
      <c r="T126" s="1">
        <v>725600</v>
      </c>
      <c r="U126" s="1">
        <v>1147400</v>
      </c>
      <c r="V126" s="1">
        <v>834800</v>
      </c>
      <c r="W126" s="1">
        <v>1038200</v>
      </c>
      <c r="X126" s="1">
        <v>2573600</v>
      </c>
      <c r="Y126" s="1">
        <v>65000</v>
      </c>
      <c r="Z126" s="1">
        <v>28000</v>
      </c>
      <c r="AA126" s="1">
        <v>13200</v>
      </c>
      <c r="AB126" s="1">
        <v>60400</v>
      </c>
      <c r="AC126" s="1">
        <v>1767900</v>
      </c>
      <c r="AD126" s="2">
        <f t="shared" si="7"/>
        <v>0.68693658688218839</v>
      </c>
      <c r="AE126">
        <f t="shared" si="8"/>
        <v>1</v>
      </c>
      <c r="AF126" s="1">
        <v>2544</v>
      </c>
      <c r="AG126" s="1">
        <v>338700</v>
      </c>
      <c r="AH126" s="1">
        <v>1919200</v>
      </c>
      <c r="AI126" s="1">
        <v>824500</v>
      </c>
      <c r="AJ126" s="1">
        <v>1094700</v>
      </c>
      <c r="AK126" s="1">
        <v>1049800</v>
      </c>
      <c r="AL126" s="1">
        <v>869400</v>
      </c>
    </row>
    <row r="127" spans="1:38" x14ac:dyDescent="0.2">
      <c r="A127">
        <v>142</v>
      </c>
      <c r="B127" t="s">
        <v>187</v>
      </c>
      <c r="C127" t="s">
        <v>643</v>
      </c>
      <c r="D127" t="s">
        <v>992</v>
      </c>
      <c r="E127" t="s">
        <v>1152</v>
      </c>
      <c r="F127" t="s">
        <v>1307</v>
      </c>
      <c r="G127" s="7">
        <v>400</v>
      </c>
      <c r="H127" t="str">
        <f t="shared" si="9"/>
        <v>K</v>
      </c>
      <c r="I127" s="1">
        <v>3010267.99274504</v>
      </c>
      <c r="J127" s="1">
        <v>384979</v>
      </c>
      <c r="K127" s="1">
        <v>401765</v>
      </c>
      <c r="L127" s="1">
        <v>343854</v>
      </c>
      <c r="M127" s="1">
        <v>112656</v>
      </c>
      <c r="N127" s="1">
        <v>2116347.5243099998</v>
      </c>
      <c r="O127" s="2">
        <f t="shared" si="5"/>
        <v>0.70304289498826944</v>
      </c>
      <c r="P127">
        <f t="shared" si="6"/>
        <v>1</v>
      </c>
      <c r="Q127" s="1">
        <v>8084</v>
      </c>
      <c r="R127" s="1">
        <v>542347</v>
      </c>
      <c r="S127" s="1">
        <v>3544347</v>
      </c>
      <c r="T127" s="1">
        <v>1689358</v>
      </c>
      <c r="U127" s="1">
        <v>1854989</v>
      </c>
      <c r="V127" s="1">
        <v>3130816</v>
      </c>
      <c r="W127" s="1">
        <v>363898</v>
      </c>
      <c r="X127" s="1">
        <v>4115703</v>
      </c>
      <c r="Y127" s="1">
        <v>675020</v>
      </c>
      <c r="Z127" s="1">
        <v>761702</v>
      </c>
      <c r="AA127" s="1">
        <v>626287</v>
      </c>
      <c r="AB127" s="1">
        <v>143449</v>
      </c>
      <c r="AC127" s="1">
        <v>2682056</v>
      </c>
      <c r="AD127" s="2">
        <f t="shared" si="7"/>
        <v>0.65166412639590365</v>
      </c>
      <c r="AE127">
        <f t="shared" si="8"/>
        <v>1</v>
      </c>
      <c r="AF127" s="1">
        <v>9064</v>
      </c>
      <c r="AG127" s="1">
        <v>885822</v>
      </c>
      <c r="AH127" s="1">
        <v>5703112</v>
      </c>
      <c r="AI127" s="1">
        <v>3102472</v>
      </c>
      <c r="AJ127" s="1">
        <v>2600640</v>
      </c>
      <c r="AK127" s="1">
        <v>4954773</v>
      </c>
      <c r="AL127" s="1">
        <v>748636</v>
      </c>
    </row>
    <row r="128" spans="1:38" x14ac:dyDescent="0.2">
      <c r="A128">
        <v>143</v>
      </c>
      <c r="B128" t="s">
        <v>257</v>
      </c>
      <c r="C128" t="s">
        <v>713</v>
      </c>
      <c r="D128" t="s">
        <v>1056</v>
      </c>
      <c r="E128" t="s">
        <v>1229</v>
      </c>
      <c r="F128" t="s">
        <v>1301</v>
      </c>
      <c r="G128" s="7">
        <v>500</v>
      </c>
      <c r="H128" t="str">
        <f t="shared" si="9"/>
        <v>Z</v>
      </c>
      <c r="I128" s="1">
        <v>2985665.86295</v>
      </c>
      <c r="J128" s="1">
        <v>178517.76788</v>
      </c>
      <c r="K128" s="1">
        <v>163346.61264000001</v>
      </c>
      <c r="L128" s="1">
        <v>114915.84007000001</v>
      </c>
      <c r="M128" s="1">
        <v>45200.305849999997</v>
      </c>
      <c r="N128" s="1">
        <v>1720326</v>
      </c>
      <c r="O128" s="2">
        <f t="shared" si="5"/>
        <v>0.57619508644554907</v>
      </c>
      <c r="P128">
        <f t="shared" si="6"/>
        <v>1</v>
      </c>
      <c r="Q128" s="1">
        <v>2390</v>
      </c>
      <c r="R128" s="1">
        <v>159490.95441999999</v>
      </c>
      <c r="S128" s="1">
        <v>1521094.7091000001</v>
      </c>
      <c r="T128" s="1">
        <v>355830.40461000003</v>
      </c>
      <c r="U128" s="1">
        <v>1165264.30449</v>
      </c>
      <c r="V128" s="1">
        <v>574281.53986000002</v>
      </c>
      <c r="W128" s="1">
        <v>946813.16923999996</v>
      </c>
      <c r="X128" s="1">
        <v>2895789.8</v>
      </c>
      <c r="Y128" s="1">
        <v>259016</v>
      </c>
      <c r="Z128" s="1">
        <v>274161</v>
      </c>
      <c r="AA128" s="1">
        <v>219669</v>
      </c>
      <c r="AB128" s="1">
        <v>55390</v>
      </c>
      <c r="AC128" s="1">
        <v>934633</v>
      </c>
      <c r="AD128" s="2">
        <f t="shared" si="7"/>
        <v>0.32275581604714543</v>
      </c>
      <c r="AE128">
        <f t="shared" si="8"/>
        <v>0</v>
      </c>
      <c r="AF128" s="1">
        <v>2614</v>
      </c>
      <c r="AG128" s="1">
        <v>266421</v>
      </c>
      <c r="AH128" s="1">
        <v>1589133.7</v>
      </c>
      <c r="AI128" s="1">
        <v>389444</v>
      </c>
      <c r="AJ128" s="1">
        <v>1199689.7</v>
      </c>
      <c r="AK128" s="1">
        <v>1254511</v>
      </c>
      <c r="AL128" s="1">
        <v>334623</v>
      </c>
    </row>
    <row r="129" spans="1:38" x14ac:dyDescent="0.2">
      <c r="A129">
        <v>144</v>
      </c>
      <c r="B129" t="s">
        <v>153</v>
      </c>
      <c r="C129" t="s">
        <v>609</v>
      </c>
      <c r="D129" t="s">
        <v>1015</v>
      </c>
      <c r="E129" t="s">
        <v>1178</v>
      </c>
      <c r="F129" t="s">
        <v>1311</v>
      </c>
      <c r="G129" s="7">
        <v>400</v>
      </c>
      <c r="H129" t="str">
        <f t="shared" si="9"/>
        <v>K</v>
      </c>
      <c r="I129" s="1">
        <v>2950491.7634999999</v>
      </c>
      <c r="J129" s="1">
        <v>240817.56901000001</v>
      </c>
      <c r="K129" s="1">
        <v>186383.14486999999</v>
      </c>
      <c r="L129" s="1">
        <v>141136.68187</v>
      </c>
      <c r="M129" s="1">
        <v>346206.78529999999</v>
      </c>
      <c r="N129" s="1">
        <v>178087.06817000001</v>
      </c>
      <c r="O129" s="2">
        <f t="shared" si="5"/>
        <v>6.0358435964161274E-2</v>
      </c>
      <c r="P129">
        <f t="shared" si="6"/>
        <v>0</v>
      </c>
      <c r="Q129" s="1">
        <v>8300</v>
      </c>
      <c r="R129" s="1">
        <v>685641.96962999995</v>
      </c>
      <c r="S129" s="1">
        <v>7486886.7620900013</v>
      </c>
      <c r="T129" s="1">
        <v>5992575.4046800006</v>
      </c>
      <c r="U129" s="1">
        <v>1494311.3574099999</v>
      </c>
      <c r="V129" s="1">
        <v>2544798.94099</v>
      </c>
      <c r="W129" s="1">
        <v>4942087.8211000003</v>
      </c>
      <c r="X129" s="1">
        <v>5501500.1306400001</v>
      </c>
      <c r="Y129" s="1">
        <v>498818.81644000002</v>
      </c>
      <c r="Z129" s="1">
        <v>337799.65448999999</v>
      </c>
      <c r="AA129" s="1">
        <v>260918.27676000001</v>
      </c>
      <c r="AB129" s="1">
        <v>467406.20697000012</v>
      </c>
      <c r="AC129" s="1">
        <v>400754</v>
      </c>
      <c r="AD129" s="2">
        <f t="shared" si="7"/>
        <v>7.2844495225592137E-2</v>
      </c>
      <c r="AE129">
        <f t="shared" si="8"/>
        <v>0</v>
      </c>
      <c r="AF129" s="1">
        <v>9314</v>
      </c>
      <c r="AG129" s="1">
        <v>1043146.84641</v>
      </c>
      <c r="AH129" s="1">
        <v>10456201.22532</v>
      </c>
      <c r="AI129" s="1">
        <v>9467022.5633199997</v>
      </c>
      <c r="AJ129" s="1">
        <v>989178.66200000001</v>
      </c>
      <c r="AK129" s="1">
        <v>2799649.2795799999</v>
      </c>
      <c r="AL129" s="1">
        <v>7656551.9457399994</v>
      </c>
    </row>
    <row r="130" spans="1:38" x14ac:dyDescent="0.2">
      <c r="A130">
        <v>145</v>
      </c>
      <c r="B130" t="s">
        <v>234</v>
      </c>
      <c r="C130" t="s">
        <v>690</v>
      </c>
      <c r="D130" t="s">
        <v>1044</v>
      </c>
      <c r="E130" t="s">
        <v>1218</v>
      </c>
      <c r="F130" t="s">
        <v>1306</v>
      </c>
      <c r="G130" s="7">
        <v>540</v>
      </c>
      <c r="H130" t="str">
        <f t="shared" si="9"/>
        <v>Z</v>
      </c>
      <c r="I130" s="1">
        <v>2981890</v>
      </c>
      <c r="J130" s="1">
        <v>158161</v>
      </c>
      <c r="K130" s="1">
        <v>142545</v>
      </c>
      <c r="L130" s="1">
        <v>118168</v>
      </c>
      <c r="M130" s="1">
        <v>84786</v>
      </c>
      <c r="N130" s="1">
        <v>2010881</v>
      </c>
      <c r="O130" s="2">
        <f t="shared" ref="O130:O193" si="10">IF(I130=0,0,N130/I130)</f>
        <v>0.67436458085308315</v>
      </c>
      <c r="P130">
        <f t="shared" ref="P130:P193" si="11">IF(O130&gt;50%,1,0)</f>
        <v>1</v>
      </c>
      <c r="Q130" s="1">
        <v>3299</v>
      </c>
      <c r="R130" s="1">
        <v>428918.23349999997</v>
      </c>
      <c r="S130" s="1">
        <v>2197517</v>
      </c>
      <c r="T130" s="1">
        <v>1089216</v>
      </c>
      <c r="U130" s="1">
        <v>1108301</v>
      </c>
      <c r="V130" s="1">
        <v>628909</v>
      </c>
      <c r="W130" s="1">
        <v>1411657</v>
      </c>
      <c r="X130" s="1">
        <v>3193137</v>
      </c>
      <c r="Y130" s="1">
        <v>-126154</v>
      </c>
      <c r="Z130" s="1">
        <v>-153625</v>
      </c>
      <c r="AA130" s="1">
        <v>-150442</v>
      </c>
      <c r="AB130" s="1">
        <v>57170</v>
      </c>
      <c r="AC130" s="1">
        <v>2423354</v>
      </c>
      <c r="AD130" s="2">
        <f t="shared" ref="AD130:AD193" si="12">IF(X130=0,0,AC130/X130)</f>
        <v>0.7589257836416039</v>
      </c>
      <c r="AE130">
        <f t="shared" ref="AE130:AE193" si="13">IF(AD130&gt;50%,1,0)</f>
        <v>1</v>
      </c>
      <c r="AF130" s="1">
        <v>2701</v>
      </c>
      <c r="AG130" s="1">
        <v>545149</v>
      </c>
      <c r="AH130" s="1">
        <v>2507166</v>
      </c>
      <c r="AI130" s="1">
        <v>671770</v>
      </c>
      <c r="AJ130" s="1">
        <v>1835396</v>
      </c>
      <c r="AK130" s="1">
        <v>462928</v>
      </c>
      <c r="AL130" s="1">
        <v>2044238</v>
      </c>
    </row>
    <row r="131" spans="1:38" x14ac:dyDescent="0.2">
      <c r="A131">
        <v>146</v>
      </c>
      <c r="B131" t="s">
        <v>182</v>
      </c>
      <c r="C131" t="s">
        <v>638</v>
      </c>
      <c r="D131" t="s">
        <v>1025</v>
      </c>
      <c r="E131" t="s">
        <v>1193</v>
      </c>
      <c r="F131" t="s">
        <v>1294</v>
      </c>
      <c r="G131" s="7">
        <v>450</v>
      </c>
      <c r="H131" t="str">
        <f t="shared" ref="H131:H194" si="14">IF(G131&lt;500,"K","Z")</f>
        <v>K</v>
      </c>
      <c r="I131" s="1">
        <v>2979882</v>
      </c>
      <c r="J131" s="1">
        <v>37095</v>
      </c>
      <c r="K131" s="1">
        <v>36089</v>
      </c>
      <c r="L131" s="1">
        <v>27792</v>
      </c>
      <c r="M131" s="1">
        <v>9337</v>
      </c>
      <c r="N131" s="1">
        <v>305.5</v>
      </c>
      <c r="O131" s="2">
        <f t="shared" si="10"/>
        <v>1.0252083807345391E-4</v>
      </c>
      <c r="P131">
        <f t="shared" si="11"/>
        <v>0</v>
      </c>
      <c r="Q131" s="1">
        <v>561.91999999999996</v>
      </c>
      <c r="R131" s="1">
        <v>47067.7</v>
      </c>
      <c r="S131" s="1">
        <v>655052</v>
      </c>
      <c r="T131" s="1">
        <v>177895</v>
      </c>
      <c r="U131" s="1">
        <v>477157</v>
      </c>
      <c r="V131" s="1">
        <v>242413</v>
      </c>
      <c r="W131" s="1">
        <v>394850</v>
      </c>
      <c r="X131" s="1">
        <v>4240437</v>
      </c>
      <c r="Y131" s="1">
        <v>63555</v>
      </c>
      <c r="Z131" s="1">
        <v>61686</v>
      </c>
      <c r="AA131" s="1">
        <v>47111</v>
      </c>
      <c r="AB131" s="1">
        <v>7580</v>
      </c>
      <c r="AC131" s="1">
        <v>723</v>
      </c>
      <c r="AD131" s="2">
        <f t="shared" si="12"/>
        <v>1.7050129503162057E-4</v>
      </c>
      <c r="AE131">
        <f t="shared" si="13"/>
        <v>0</v>
      </c>
      <c r="AF131" s="1">
        <v>464</v>
      </c>
      <c r="AG131" s="1">
        <v>64507</v>
      </c>
      <c r="AH131" s="1">
        <v>811921</v>
      </c>
      <c r="AI131" s="1">
        <v>164771</v>
      </c>
      <c r="AJ131" s="1">
        <v>647150</v>
      </c>
      <c r="AK131" s="1">
        <v>278373</v>
      </c>
      <c r="AL131" s="1">
        <v>533548</v>
      </c>
    </row>
    <row r="132" spans="1:38" x14ac:dyDescent="0.2">
      <c r="A132">
        <v>147</v>
      </c>
      <c r="B132" t="s">
        <v>242</v>
      </c>
      <c r="C132" t="s">
        <v>698</v>
      </c>
      <c r="D132" t="s">
        <v>1010</v>
      </c>
      <c r="E132" t="s">
        <v>1172</v>
      </c>
      <c r="F132" t="s">
        <v>1306</v>
      </c>
      <c r="G132" s="7">
        <v>540</v>
      </c>
      <c r="H132" t="str">
        <f t="shared" si="14"/>
        <v>Z</v>
      </c>
      <c r="I132" s="1">
        <v>2885740.8789499998</v>
      </c>
      <c r="J132" s="1">
        <v>48008</v>
      </c>
      <c r="K132" s="1">
        <v>42008</v>
      </c>
      <c r="L132" s="1">
        <v>34090</v>
      </c>
      <c r="M132" s="1">
        <v>19579</v>
      </c>
      <c r="N132" s="1">
        <v>397439</v>
      </c>
      <c r="O132" s="2">
        <f t="shared" si="10"/>
        <v>0.13772511693586689</v>
      </c>
      <c r="P132">
        <f t="shared" si="11"/>
        <v>0</v>
      </c>
      <c r="Q132" s="1">
        <v>1066</v>
      </c>
      <c r="R132" s="1">
        <v>106721.22933</v>
      </c>
      <c r="S132" s="1">
        <v>1141134</v>
      </c>
      <c r="T132" s="1">
        <v>314459</v>
      </c>
      <c r="U132" s="1">
        <v>826675</v>
      </c>
      <c r="V132" s="1">
        <v>502799</v>
      </c>
      <c r="W132" s="1">
        <v>638335</v>
      </c>
      <c r="X132" s="1">
        <v>3049118.5</v>
      </c>
      <c r="Y132" s="1">
        <v>38447.5</v>
      </c>
      <c r="Z132" s="1">
        <v>40608</v>
      </c>
      <c r="AA132" s="1">
        <v>36407</v>
      </c>
      <c r="AB132" s="1">
        <v>25824</v>
      </c>
      <c r="AC132" s="1">
        <v>506045</v>
      </c>
      <c r="AD132" s="2">
        <f t="shared" si="12"/>
        <v>0.16596435986335067</v>
      </c>
      <c r="AE132">
        <f t="shared" si="13"/>
        <v>0</v>
      </c>
      <c r="AF132" s="1">
        <v>1020</v>
      </c>
      <c r="AG132" s="1">
        <v>151850</v>
      </c>
      <c r="AH132" s="1">
        <v>1479409</v>
      </c>
      <c r="AI132" s="1">
        <v>372001</v>
      </c>
      <c r="AJ132" s="1">
        <v>1107408</v>
      </c>
      <c r="AK132" s="1">
        <v>1004605</v>
      </c>
      <c r="AL132" s="1">
        <v>474804</v>
      </c>
    </row>
    <row r="133" spans="1:38" x14ac:dyDescent="0.2">
      <c r="A133">
        <v>149</v>
      </c>
      <c r="B133" t="s">
        <v>167</v>
      </c>
      <c r="C133" t="s">
        <v>623</v>
      </c>
      <c r="D133" t="s">
        <v>1007</v>
      </c>
      <c r="E133" t="s">
        <v>1169</v>
      </c>
      <c r="F133" t="s">
        <v>1220</v>
      </c>
      <c r="G133" s="7">
        <v>540</v>
      </c>
      <c r="H133" t="str">
        <f t="shared" si="14"/>
        <v>Z</v>
      </c>
      <c r="I133" s="1">
        <v>2713536.5070000002</v>
      </c>
      <c r="J133" s="1">
        <v>-47492.595000000001</v>
      </c>
      <c r="K133" s="1">
        <v>-24675.603999999999</v>
      </c>
      <c r="L133" s="1">
        <v>-23092</v>
      </c>
      <c r="M133" s="1">
        <v>111.063</v>
      </c>
      <c r="N133" s="1">
        <v>0</v>
      </c>
      <c r="O133" s="2">
        <f t="shared" si="10"/>
        <v>0</v>
      </c>
      <c r="P133">
        <f t="shared" si="11"/>
        <v>0</v>
      </c>
      <c r="Q133" s="1">
        <v>125</v>
      </c>
      <c r="R133" s="1">
        <v>17352.883000000002</v>
      </c>
      <c r="S133" s="1">
        <v>705254.74699999997</v>
      </c>
      <c r="T133" s="1">
        <v>22599.054</v>
      </c>
      <c r="U133" s="1">
        <v>682655.69299999997</v>
      </c>
      <c r="V133" s="1">
        <v>13076.74</v>
      </c>
      <c r="W133" s="1">
        <v>692178.00699999998</v>
      </c>
      <c r="X133" s="1">
        <v>4870200</v>
      </c>
      <c r="Y133" s="1"/>
      <c r="Z133" s="1"/>
      <c r="AA133" s="1"/>
      <c r="AB133" s="1"/>
      <c r="AC133" s="1"/>
      <c r="AD133" s="2">
        <f t="shared" si="12"/>
        <v>0</v>
      </c>
      <c r="AE133">
        <f t="shared" si="13"/>
        <v>0</v>
      </c>
      <c r="AF133" s="1"/>
      <c r="AG133" s="1"/>
      <c r="AH133" s="1"/>
      <c r="AI133" s="1"/>
      <c r="AJ133" s="1"/>
      <c r="AK133" s="1"/>
      <c r="AL133" s="1"/>
    </row>
    <row r="134" spans="1:38" x14ac:dyDescent="0.2">
      <c r="A134">
        <v>150</v>
      </c>
      <c r="B134" t="s">
        <v>273</v>
      </c>
      <c r="C134" t="s">
        <v>729</v>
      </c>
      <c r="D134" t="s">
        <v>1062</v>
      </c>
      <c r="E134" t="s">
        <v>1235</v>
      </c>
      <c r="F134" t="s">
        <v>1306</v>
      </c>
      <c r="G134" s="7">
        <v>500</v>
      </c>
      <c r="H134" t="str">
        <f t="shared" si="14"/>
        <v>Z</v>
      </c>
      <c r="I134" s="1">
        <v>2881842</v>
      </c>
      <c r="J134" s="1">
        <v>237084</v>
      </c>
      <c r="K134" s="1">
        <v>231057</v>
      </c>
      <c r="L134" s="1">
        <v>168769</v>
      </c>
      <c r="M134" s="1">
        <v>73339</v>
      </c>
      <c r="N134" s="1">
        <v>2389269</v>
      </c>
      <c r="O134" s="2">
        <f t="shared" si="10"/>
        <v>0.82907702781762493</v>
      </c>
      <c r="P134">
        <f t="shared" si="11"/>
        <v>1</v>
      </c>
      <c r="Q134" s="1">
        <v>7773</v>
      </c>
      <c r="R134" s="1">
        <v>487810</v>
      </c>
      <c r="S134" s="1">
        <v>1357540</v>
      </c>
      <c r="T134" s="1">
        <v>709987</v>
      </c>
      <c r="U134" s="1">
        <v>647553</v>
      </c>
      <c r="V134" s="1">
        <v>547741</v>
      </c>
      <c r="W134" s="1">
        <v>809799</v>
      </c>
      <c r="X134" s="1">
        <v>2690816</v>
      </c>
      <c r="Y134" s="1">
        <v>-41235</v>
      </c>
      <c r="Z134" s="1">
        <v>-73957</v>
      </c>
      <c r="AA134" s="1">
        <v>-67449</v>
      </c>
      <c r="AB134" s="1">
        <v>99451</v>
      </c>
      <c r="AC134" s="1">
        <v>2399591</v>
      </c>
      <c r="AD134" s="2">
        <f t="shared" si="12"/>
        <v>0.89177074909618492</v>
      </c>
      <c r="AE134">
        <f t="shared" si="13"/>
        <v>1</v>
      </c>
      <c r="AF134" s="1">
        <v>6134</v>
      </c>
      <c r="AG134" s="1">
        <v>617015</v>
      </c>
      <c r="AH134" s="1">
        <v>1213280</v>
      </c>
      <c r="AI134" s="1">
        <v>678477</v>
      </c>
      <c r="AJ134" s="1">
        <v>534803</v>
      </c>
      <c r="AK134" s="1">
        <v>208319</v>
      </c>
      <c r="AL134" s="1">
        <v>991286</v>
      </c>
    </row>
    <row r="135" spans="1:38" x14ac:dyDescent="0.2">
      <c r="A135">
        <v>151</v>
      </c>
      <c r="B135" t="s">
        <v>337</v>
      </c>
      <c r="C135" t="s">
        <v>794</v>
      </c>
      <c r="D135" t="s">
        <v>1072</v>
      </c>
      <c r="E135" t="s">
        <v>1246</v>
      </c>
      <c r="F135" t="s">
        <v>1302</v>
      </c>
      <c r="G135" s="7">
        <v>450</v>
      </c>
      <c r="H135" t="str">
        <f t="shared" si="14"/>
        <v>K</v>
      </c>
      <c r="I135" s="1">
        <v>2877920</v>
      </c>
      <c r="J135" s="1">
        <v>-423589</v>
      </c>
      <c r="K135" s="1">
        <v>-439892</v>
      </c>
      <c r="L135" s="1">
        <v>-446146</v>
      </c>
      <c r="M135" s="1">
        <v>183401</v>
      </c>
      <c r="N135" s="1">
        <v>11379</v>
      </c>
      <c r="O135" s="2">
        <f t="shared" si="10"/>
        <v>3.9538972591315951E-3</v>
      </c>
      <c r="P135">
        <f t="shared" si="11"/>
        <v>0</v>
      </c>
      <c r="Q135" s="1">
        <v>4844</v>
      </c>
      <c r="R135" s="1">
        <v>406080</v>
      </c>
      <c r="S135" s="1">
        <v>3118246</v>
      </c>
      <c r="T135" s="1">
        <v>2182031</v>
      </c>
      <c r="U135" s="1">
        <v>936215</v>
      </c>
      <c r="V135" s="1">
        <v>1176468</v>
      </c>
      <c r="W135" s="1">
        <v>1941778</v>
      </c>
      <c r="X135" s="1">
        <v>2185257</v>
      </c>
      <c r="Y135" s="1">
        <v>264613</v>
      </c>
      <c r="Z135" s="1">
        <v>241496</v>
      </c>
      <c r="AA135" s="1">
        <v>262915</v>
      </c>
      <c r="AB135" s="1">
        <v>16961</v>
      </c>
      <c r="AC135" s="1">
        <v>34814</v>
      </c>
      <c r="AD135" s="2">
        <f t="shared" si="12"/>
        <v>1.5931306935522915E-2</v>
      </c>
      <c r="AE135">
        <f t="shared" si="13"/>
        <v>0</v>
      </c>
      <c r="AF135" s="1">
        <v>2521</v>
      </c>
      <c r="AG135" s="1">
        <v>354052</v>
      </c>
      <c r="AH135" s="1">
        <v>3849821</v>
      </c>
      <c r="AI135" s="1">
        <v>2281276</v>
      </c>
      <c r="AJ135" s="1">
        <v>1568545</v>
      </c>
      <c r="AK135" s="1">
        <v>2175475</v>
      </c>
      <c r="AL135" s="1">
        <v>1674346</v>
      </c>
    </row>
    <row r="136" spans="1:38" x14ac:dyDescent="0.2">
      <c r="A136">
        <v>152</v>
      </c>
      <c r="B136" t="s">
        <v>175</v>
      </c>
      <c r="C136" t="s">
        <v>631</v>
      </c>
      <c r="D136" t="s">
        <v>974</v>
      </c>
      <c r="E136" t="s">
        <v>1131</v>
      </c>
      <c r="F136" t="s">
        <v>1305</v>
      </c>
      <c r="G136" s="7">
        <v>500</v>
      </c>
      <c r="H136" t="str">
        <f t="shared" si="14"/>
        <v>Z</v>
      </c>
      <c r="I136" s="1">
        <v>2861362</v>
      </c>
      <c r="J136" s="1">
        <v>19008</v>
      </c>
      <c r="K136" s="1">
        <v>-1224</v>
      </c>
      <c r="L136" s="1">
        <v>-5019</v>
      </c>
      <c r="M136" s="1">
        <v>22782</v>
      </c>
      <c r="N136" s="1">
        <v>225832</v>
      </c>
      <c r="O136" s="2">
        <f t="shared" si="10"/>
        <v>7.8924651966441162E-2</v>
      </c>
      <c r="P136">
        <f t="shared" si="11"/>
        <v>0</v>
      </c>
      <c r="Q136" s="1">
        <v>1158</v>
      </c>
      <c r="R136" s="1">
        <v>128964.54021000001</v>
      </c>
      <c r="S136" s="1">
        <v>1341405</v>
      </c>
      <c r="T136" s="1">
        <v>297226</v>
      </c>
      <c r="U136" s="1">
        <v>1044179</v>
      </c>
      <c r="V136" s="1">
        <v>189394</v>
      </c>
      <c r="W136" s="1">
        <v>1152010.85562</v>
      </c>
      <c r="X136" s="1">
        <v>4421246</v>
      </c>
      <c r="Y136" s="1">
        <v>99321</v>
      </c>
      <c r="Z136" s="1">
        <v>59663</v>
      </c>
      <c r="AA136" s="1">
        <v>45114</v>
      </c>
      <c r="AB136" s="1">
        <v>23760</v>
      </c>
      <c r="AC136" s="1">
        <v>85635</v>
      </c>
      <c r="AD136" s="2">
        <f t="shared" si="12"/>
        <v>1.9368974266530295E-2</v>
      </c>
      <c r="AE136">
        <f t="shared" si="13"/>
        <v>0</v>
      </c>
      <c r="AF136" s="1">
        <v>1241</v>
      </c>
      <c r="AG136" s="1">
        <v>197044</v>
      </c>
      <c r="AH136" s="1">
        <v>1769775</v>
      </c>
      <c r="AI136" s="1">
        <v>384306</v>
      </c>
      <c r="AJ136" s="1">
        <v>1385469</v>
      </c>
      <c r="AK136" s="1">
        <v>325072</v>
      </c>
      <c r="AL136" s="1">
        <v>1444701</v>
      </c>
    </row>
    <row r="137" spans="1:38" x14ac:dyDescent="0.2">
      <c r="A137">
        <v>154</v>
      </c>
      <c r="B137" t="s">
        <v>241</v>
      </c>
      <c r="C137" t="s">
        <v>697</v>
      </c>
      <c r="D137" t="s">
        <v>1002</v>
      </c>
      <c r="E137" t="s">
        <v>1163</v>
      </c>
      <c r="F137" t="s">
        <v>1301</v>
      </c>
      <c r="G137" s="7">
        <v>500</v>
      </c>
      <c r="H137" t="str">
        <f t="shared" si="14"/>
        <v>Z</v>
      </c>
      <c r="I137" s="1">
        <v>2845903</v>
      </c>
      <c r="J137" s="1">
        <v>116296</v>
      </c>
      <c r="K137" s="1">
        <v>116065</v>
      </c>
      <c r="L137" s="1">
        <v>80792</v>
      </c>
      <c r="M137" s="1">
        <v>47710</v>
      </c>
      <c r="N137" s="1">
        <v>6487</v>
      </c>
      <c r="O137" s="2">
        <f t="shared" si="10"/>
        <v>2.2794171129514955E-3</v>
      </c>
      <c r="P137">
        <f t="shared" si="11"/>
        <v>0</v>
      </c>
      <c r="Q137" s="1">
        <v>5765</v>
      </c>
      <c r="R137" s="1">
        <v>331363</v>
      </c>
      <c r="S137" s="1">
        <v>1374287</v>
      </c>
      <c r="T137" s="1">
        <v>277051</v>
      </c>
      <c r="U137" s="1">
        <v>1097236</v>
      </c>
      <c r="V137" s="1">
        <v>820792</v>
      </c>
      <c r="W137" s="1">
        <v>553495</v>
      </c>
      <c r="X137" s="1">
        <v>3066494</v>
      </c>
      <c r="Y137" s="1">
        <v>60297</v>
      </c>
      <c r="Z137" s="1">
        <v>84962</v>
      </c>
      <c r="AA137" s="1">
        <v>66666</v>
      </c>
      <c r="AB137" s="1">
        <v>37462</v>
      </c>
      <c r="AC137" s="1">
        <v>3192</v>
      </c>
      <c r="AD137" s="2">
        <f t="shared" si="12"/>
        <v>1.0409281739993622E-3</v>
      </c>
      <c r="AE137">
        <f t="shared" si="13"/>
        <v>0</v>
      </c>
      <c r="AF137" s="1">
        <v>4443</v>
      </c>
      <c r="AG137" s="1">
        <v>375196</v>
      </c>
      <c r="AH137" s="1">
        <v>1273774</v>
      </c>
      <c r="AI137" s="1">
        <v>191657</v>
      </c>
      <c r="AJ137" s="1">
        <v>1082117</v>
      </c>
      <c r="AK137" s="1">
        <v>945448</v>
      </c>
      <c r="AL137" s="1">
        <v>328326</v>
      </c>
    </row>
    <row r="138" spans="1:38" x14ac:dyDescent="0.2">
      <c r="A138">
        <v>155</v>
      </c>
      <c r="B138" t="s">
        <v>224</v>
      </c>
      <c r="C138" t="s">
        <v>680</v>
      </c>
      <c r="D138" t="s">
        <v>975</v>
      </c>
      <c r="E138" t="s">
        <v>1132</v>
      </c>
      <c r="F138" t="s">
        <v>1303</v>
      </c>
      <c r="G138" s="7">
        <v>450</v>
      </c>
      <c r="H138" t="str">
        <f t="shared" si="14"/>
        <v>K</v>
      </c>
      <c r="I138" s="1">
        <v>2813565</v>
      </c>
      <c r="J138" s="1">
        <v>281521</v>
      </c>
      <c r="K138" s="1">
        <v>116597</v>
      </c>
      <c r="L138" s="1">
        <v>71047</v>
      </c>
      <c r="M138" s="1">
        <v>168679</v>
      </c>
      <c r="N138" s="1">
        <v>1451676</v>
      </c>
      <c r="O138" s="2">
        <f t="shared" si="10"/>
        <v>0.51595609129343023</v>
      </c>
      <c r="P138">
        <f t="shared" si="11"/>
        <v>1</v>
      </c>
      <c r="Q138" s="1">
        <v>1517</v>
      </c>
      <c r="R138" s="1">
        <v>130445</v>
      </c>
      <c r="S138" s="1">
        <v>4082014</v>
      </c>
      <c r="T138" s="1">
        <v>3251615</v>
      </c>
      <c r="U138" s="1">
        <v>830399</v>
      </c>
      <c r="V138" s="1">
        <v>947447</v>
      </c>
      <c r="W138" s="1">
        <v>3134567</v>
      </c>
      <c r="X138" s="1">
        <v>3274108</v>
      </c>
      <c r="Y138" s="1">
        <v>257673</v>
      </c>
      <c r="Z138" s="1">
        <v>24334</v>
      </c>
      <c r="AA138" s="1">
        <v>5962</v>
      </c>
      <c r="AB138" s="1">
        <v>184809</v>
      </c>
      <c r="AC138" s="1">
        <v>1280807</v>
      </c>
      <c r="AD138" s="2">
        <f t="shared" si="12"/>
        <v>0.39119265461004954</v>
      </c>
      <c r="AE138">
        <f t="shared" si="13"/>
        <v>0</v>
      </c>
      <c r="AF138" s="1">
        <v>1346</v>
      </c>
      <c r="AG138" s="1">
        <v>188336</v>
      </c>
      <c r="AH138" s="1">
        <v>4030536</v>
      </c>
      <c r="AI138" s="1">
        <v>3226151</v>
      </c>
      <c r="AJ138" s="1">
        <v>804385</v>
      </c>
      <c r="AK138" s="1">
        <v>1428323</v>
      </c>
      <c r="AL138" s="1">
        <v>2602213</v>
      </c>
    </row>
    <row r="139" spans="1:38" x14ac:dyDescent="0.2">
      <c r="A139">
        <v>157</v>
      </c>
      <c r="B139" t="s">
        <v>352</v>
      </c>
      <c r="C139" t="s">
        <v>809</v>
      </c>
      <c r="D139" t="s">
        <v>968</v>
      </c>
      <c r="E139" t="s">
        <v>1125</v>
      </c>
      <c r="F139" t="s">
        <v>1302</v>
      </c>
      <c r="G139" s="7">
        <v>400</v>
      </c>
      <c r="H139" t="str">
        <f t="shared" si="14"/>
        <v>K</v>
      </c>
      <c r="I139" s="1">
        <v>2790505</v>
      </c>
      <c r="J139" s="1">
        <v>37532</v>
      </c>
      <c r="K139" s="1">
        <v>38178</v>
      </c>
      <c r="L139" s="1">
        <v>31536</v>
      </c>
      <c r="M139" s="1">
        <v>1381</v>
      </c>
      <c r="N139" s="1">
        <v>25870</v>
      </c>
      <c r="O139" s="2">
        <f t="shared" si="10"/>
        <v>9.2707233995280424E-3</v>
      </c>
      <c r="P139">
        <f t="shared" si="11"/>
        <v>0</v>
      </c>
      <c r="Q139" s="1">
        <v>28</v>
      </c>
      <c r="R139" s="1">
        <v>14206.98576</v>
      </c>
      <c r="S139" s="1">
        <v>94110</v>
      </c>
      <c r="T139" s="1">
        <v>29417</v>
      </c>
      <c r="U139" s="1">
        <v>64693</v>
      </c>
      <c r="V139" s="1">
        <v>43596</v>
      </c>
      <c r="W139" s="1">
        <v>50514.09607</v>
      </c>
      <c r="X139" s="1">
        <v>2025195.18915</v>
      </c>
      <c r="Y139" s="1">
        <v>107114.66976</v>
      </c>
      <c r="Z139" s="1">
        <v>242888.91287999999</v>
      </c>
      <c r="AA139" s="1">
        <v>206020.10665</v>
      </c>
      <c r="AB139" s="1">
        <v>4245.4571799999994</v>
      </c>
      <c r="AC139" s="1">
        <v>290184</v>
      </c>
      <c r="AD139" s="2">
        <f t="shared" si="12"/>
        <v>0.14328692935607548</v>
      </c>
      <c r="AE139">
        <f t="shared" si="13"/>
        <v>0</v>
      </c>
      <c r="AF139" s="1">
        <v>145</v>
      </c>
      <c r="AG139" s="1">
        <v>44029.460039999998</v>
      </c>
      <c r="AH139" s="1">
        <v>1445414.71826</v>
      </c>
      <c r="AI139" s="1">
        <v>289578.80466000002</v>
      </c>
      <c r="AJ139" s="1">
        <v>1155835.9136000001</v>
      </c>
      <c r="AK139" s="1">
        <v>488694.52071999997</v>
      </c>
      <c r="AL139" s="1">
        <v>956720.19753</v>
      </c>
    </row>
    <row r="140" spans="1:38" x14ac:dyDescent="0.2">
      <c r="A140">
        <v>158</v>
      </c>
      <c r="B140" t="s">
        <v>237</v>
      </c>
      <c r="C140" t="s">
        <v>693</v>
      </c>
      <c r="D140" t="s">
        <v>1036</v>
      </c>
      <c r="E140" t="s">
        <v>1210</v>
      </c>
      <c r="F140" t="s">
        <v>1305</v>
      </c>
      <c r="G140" s="7">
        <v>500</v>
      </c>
      <c r="H140" t="str">
        <f t="shared" si="14"/>
        <v>Z</v>
      </c>
      <c r="I140" s="1">
        <v>2788441</v>
      </c>
      <c r="J140" s="1">
        <v>22435</v>
      </c>
      <c r="K140" s="1">
        <v>40528</v>
      </c>
      <c r="L140" s="1">
        <v>6269</v>
      </c>
      <c r="M140" s="1">
        <v>111987</v>
      </c>
      <c r="N140" s="1">
        <v>2595701</v>
      </c>
      <c r="O140" s="2">
        <f t="shared" si="10"/>
        <v>0.93087893916349673</v>
      </c>
      <c r="P140">
        <f t="shared" si="11"/>
        <v>1</v>
      </c>
      <c r="Q140" s="1">
        <v>7910</v>
      </c>
      <c r="R140" s="1">
        <v>477875</v>
      </c>
      <c r="S140" s="1">
        <v>1300402</v>
      </c>
      <c r="T140" s="1">
        <v>726085</v>
      </c>
      <c r="U140" s="1">
        <v>574317</v>
      </c>
      <c r="V140" s="1">
        <v>763971</v>
      </c>
      <c r="W140" s="1">
        <v>536431</v>
      </c>
      <c r="X140" s="1">
        <v>3150839</v>
      </c>
      <c r="Y140" s="1">
        <v>-218738</v>
      </c>
      <c r="Z140" s="1">
        <v>-181885</v>
      </c>
      <c r="AA140" s="1">
        <v>-131371</v>
      </c>
      <c r="AB140" s="1">
        <v>162392</v>
      </c>
      <c r="AC140" s="1">
        <v>3134186</v>
      </c>
      <c r="AD140" s="2">
        <f t="shared" si="12"/>
        <v>0.99471474105785795</v>
      </c>
      <c r="AE140">
        <f t="shared" si="13"/>
        <v>1</v>
      </c>
      <c r="AF140" s="1">
        <v>8869</v>
      </c>
      <c r="AG140" s="1">
        <v>866124</v>
      </c>
      <c r="AH140" s="1">
        <v>1754848</v>
      </c>
      <c r="AI140" s="1">
        <v>899143</v>
      </c>
      <c r="AJ140" s="1">
        <v>855705</v>
      </c>
      <c r="AK140" s="1">
        <v>1138202</v>
      </c>
      <c r="AL140" s="1">
        <v>616646</v>
      </c>
    </row>
    <row r="141" spans="1:38" x14ac:dyDescent="0.2">
      <c r="A141">
        <v>160</v>
      </c>
      <c r="B141" t="s">
        <v>82</v>
      </c>
      <c r="C141" t="s">
        <v>538</v>
      </c>
      <c r="D141" t="s">
        <v>965</v>
      </c>
      <c r="E141" t="s">
        <v>1122</v>
      </c>
      <c r="F141" t="s">
        <v>1308</v>
      </c>
      <c r="G141" s="7">
        <v>400</v>
      </c>
      <c r="H141" t="str">
        <f t="shared" si="14"/>
        <v>K</v>
      </c>
      <c r="I141" s="1">
        <v>4982010</v>
      </c>
      <c r="J141" s="1">
        <v>733019</v>
      </c>
      <c r="K141" s="1">
        <v>679972</v>
      </c>
      <c r="L141" s="1">
        <v>638386</v>
      </c>
      <c r="M141" s="1">
        <v>214406</v>
      </c>
      <c r="N141" s="1">
        <v>352383</v>
      </c>
      <c r="O141" s="2">
        <f t="shared" si="10"/>
        <v>7.0731090463487634E-2</v>
      </c>
      <c r="P141">
        <f t="shared" si="11"/>
        <v>0</v>
      </c>
      <c r="Q141" s="1">
        <v>7744</v>
      </c>
      <c r="R141" s="1">
        <v>584565</v>
      </c>
      <c r="S141" s="1">
        <v>8641532</v>
      </c>
      <c r="T141" s="1">
        <v>6377654</v>
      </c>
      <c r="U141" s="1">
        <v>2263878</v>
      </c>
      <c r="V141" s="1">
        <v>4317399.7</v>
      </c>
      <c r="W141" s="1">
        <v>1957989</v>
      </c>
      <c r="X141" s="1">
        <v>16178037.5</v>
      </c>
      <c r="Y141" s="1"/>
      <c r="Z141" s="1"/>
      <c r="AA141" s="1"/>
      <c r="AB141" s="1"/>
      <c r="AC141" s="1"/>
      <c r="AD141" s="2">
        <f t="shared" si="12"/>
        <v>0</v>
      </c>
      <c r="AE141">
        <f t="shared" si="13"/>
        <v>0</v>
      </c>
      <c r="AF141" s="1">
        <v>10039</v>
      </c>
      <c r="AG141" s="1"/>
      <c r="AH141" s="1"/>
      <c r="AI141" s="1"/>
      <c r="AJ141" s="1"/>
      <c r="AK141" s="1"/>
      <c r="AL141" s="1"/>
    </row>
    <row r="142" spans="1:38" x14ac:dyDescent="0.2">
      <c r="A142">
        <v>161</v>
      </c>
      <c r="B142" t="s">
        <v>183</v>
      </c>
      <c r="C142" t="s">
        <v>639</v>
      </c>
      <c r="D142" t="s">
        <v>971</v>
      </c>
      <c r="E142" t="s">
        <v>1194</v>
      </c>
      <c r="F142" t="s">
        <v>1305</v>
      </c>
      <c r="G142" s="7">
        <v>540</v>
      </c>
      <c r="H142" t="str">
        <f t="shared" si="14"/>
        <v>Z</v>
      </c>
      <c r="I142" s="1">
        <v>2606316</v>
      </c>
      <c r="J142" s="1">
        <v>99246</v>
      </c>
      <c r="K142" s="1">
        <v>27016</v>
      </c>
      <c r="L142" s="1">
        <v>11421</v>
      </c>
      <c r="M142" s="1">
        <v>74338</v>
      </c>
      <c r="N142" s="1">
        <v>1893095</v>
      </c>
      <c r="O142" s="2">
        <f t="shared" si="10"/>
        <v>0.72634899221736737</v>
      </c>
      <c r="P142">
        <f t="shared" si="11"/>
        <v>1</v>
      </c>
      <c r="Q142" s="1">
        <v>2324</v>
      </c>
      <c r="R142" s="1">
        <v>218569</v>
      </c>
      <c r="S142" s="1">
        <v>2242489</v>
      </c>
      <c r="T142" s="1">
        <v>688196</v>
      </c>
      <c r="U142" s="1">
        <v>1554293</v>
      </c>
      <c r="V142" s="1">
        <v>250248</v>
      </c>
      <c r="W142" s="1">
        <v>1992241</v>
      </c>
      <c r="X142" s="1">
        <v>4231475</v>
      </c>
      <c r="Y142" s="1">
        <v>199487</v>
      </c>
      <c r="Z142" s="1">
        <v>83421</v>
      </c>
      <c r="AA142" s="1">
        <v>58551</v>
      </c>
      <c r="AB142" s="1">
        <v>69319</v>
      </c>
      <c r="AC142" s="1">
        <v>3208770</v>
      </c>
      <c r="AD142" s="2">
        <f t="shared" si="12"/>
        <v>0.75831004555149206</v>
      </c>
      <c r="AE142">
        <f t="shared" si="13"/>
        <v>1</v>
      </c>
      <c r="AF142" s="1">
        <v>2466</v>
      </c>
      <c r="AG142" s="1">
        <v>391142</v>
      </c>
      <c r="AH142" s="1">
        <v>3309349</v>
      </c>
      <c r="AI142" s="1">
        <v>817350</v>
      </c>
      <c r="AJ142" s="1">
        <v>2491999</v>
      </c>
      <c r="AK142" s="1">
        <v>505161</v>
      </c>
      <c r="AL142" s="1">
        <v>2804188</v>
      </c>
    </row>
    <row r="143" spans="1:38" x14ac:dyDescent="0.2">
      <c r="A143">
        <v>162</v>
      </c>
      <c r="B143" t="s">
        <v>170</v>
      </c>
      <c r="C143" t="s">
        <v>626</v>
      </c>
      <c r="D143" t="s">
        <v>964</v>
      </c>
      <c r="E143" t="s">
        <v>1121</v>
      </c>
      <c r="F143" t="s">
        <v>1220</v>
      </c>
      <c r="G143" s="7">
        <v>400</v>
      </c>
      <c r="H143" t="str">
        <f t="shared" si="14"/>
        <v>K</v>
      </c>
      <c r="I143" s="1">
        <v>2711644.6582999998</v>
      </c>
      <c r="J143" s="1">
        <v>143731</v>
      </c>
      <c r="K143" s="1">
        <v>147848</v>
      </c>
      <c r="L143" s="1">
        <v>119790</v>
      </c>
      <c r="M143" s="1">
        <v>7059</v>
      </c>
      <c r="N143" s="1">
        <v>0</v>
      </c>
      <c r="O143" s="2">
        <f t="shared" si="10"/>
        <v>0</v>
      </c>
      <c r="P143">
        <f t="shared" si="11"/>
        <v>0</v>
      </c>
      <c r="Q143" s="1">
        <v>1213</v>
      </c>
      <c r="R143" s="1">
        <v>61857.915659999999</v>
      </c>
      <c r="S143" s="1">
        <v>145314</v>
      </c>
      <c r="T143" s="1">
        <v>26404</v>
      </c>
      <c r="U143" s="1">
        <v>118910</v>
      </c>
      <c r="V143" s="1">
        <v>62924</v>
      </c>
      <c r="W143" s="1">
        <v>82390.535409999997</v>
      </c>
      <c r="X143" s="1">
        <v>5256203</v>
      </c>
      <c r="Y143" s="1">
        <v>156588.99893999999</v>
      </c>
      <c r="Z143" s="1">
        <v>186414.02403</v>
      </c>
      <c r="AA143" s="1">
        <v>152070.44571</v>
      </c>
      <c r="AB143" s="1">
        <v>5764.29925</v>
      </c>
      <c r="AC143" s="1">
        <v>0</v>
      </c>
      <c r="AD143" s="2">
        <f t="shared" si="12"/>
        <v>0</v>
      </c>
      <c r="AE143">
        <f t="shared" si="13"/>
        <v>0</v>
      </c>
      <c r="AF143" s="1">
        <v>1036</v>
      </c>
      <c r="AG143" s="1">
        <v>102697.96106</v>
      </c>
      <c r="AH143" s="1">
        <v>620795.25017999997</v>
      </c>
      <c r="AI143" s="1">
        <v>551949.17293</v>
      </c>
      <c r="AJ143" s="1">
        <v>68846.077250000002</v>
      </c>
      <c r="AK143" s="1">
        <v>465996.86752999999</v>
      </c>
      <c r="AL143" s="1">
        <v>154798.38265000001</v>
      </c>
    </row>
    <row r="144" spans="1:38" x14ac:dyDescent="0.2">
      <c r="A144">
        <v>163</v>
      </c>
      <c r="B144" t="s">
        <v>230</v>
      </c>
      <c r="C144" t="s">
        <v>686</v>
      </c>
      <c r="D144" t="s">
        <v>1043</v>
      </c>
      <c r="E144" t="s">
        <v>1217</v>
      </c>
      <c r="F144" t="s">
        <v>1309</v>
      </c>
      <c r="G144" s="7">
        <v>100</v>
      </c>
      <c r="H144" t="str">
        <f t="shared" si="14"/>
        <v>K</v>
      </c>
      <c r="I144" s="1">
        <v>2707329</v>
      </c>
      <c r="J144" s="1">
        <v>112715</v>
      </c>
      <c r="K144" s="1">
        <v>65093</v>
      </c>
      <c r="L144" s="1">
        <v>89071</v>
      </c>
      <c r="M144" s="1">
        <v>209572</v>
      </c>
      <c r="N144" s="1">
        <v>7362</v>
      </c>
      <c r="O144" s="2">
        <f t="shared" si="10"/>
        <v>2.7192853177430598E-3</v>
      </c>
      <c r="P144">
        <f t="shared" si="11"/>
        <v>0</v>
      </c>
      <c r="Q144" s="1">
        <v>2775</v>
      </c>
      <c r="R144" s="1">
        <v>590086.15067</v>
      </c>
      <c r="S144" s="1">
        <v>2149271</v>
      </c>
      <c r="T144" s="1">
        <v>1014809</v>
      </c>
      <c r="U144" s="1">
        <v>1134462</v>
      </c>
      <c r="V144" s="1">
        <v>555113</v>
      </c>
      <c r="W144" s="1">
        <v>1332714</v>
      </c>
      <c r="X144" s="1">
        <v>3217805.0067199999</v>
      </c>
      <c r="Y144" s="1">
        <v>-175011</v>
      </c>
      <c r="Z144" s="1">
        <v>-238648</v>
      </c>
      <c r="AA144" s="1">
        <v>-238648</v>
      </c>
      <c r="AB144" s="1">
        <v>383091</v>
      </c>
      <c r="AC144" s="1">
        <v>29489</v>
      </c>
      <c r="AD144" s="2">
        <f t="shared" si="12"/>
        <v>9.1643216224773592E-3</v>
      </c>
      <c r="AE144">
        <f t="shared" si="13"/>
        <v>0</v>
      </c>
      <c r="AF144" s="1">
        <v>2997.5</v>
      </c>
      <c r="AG144" s="1">
        <v>783399</v>
      </c>
      <c r="AH144" s="1">
        <v>2158822</v>
      </c>
      <c r="AI144" s="1">
        <v>1384851</v>
      </c>
      <c r="AJ144" s="1">
        <v>773971</v>
      </c>
      <c r="AK144" s="1">
        <v>705823</v>
      </c>
      <c r="AL144" s="1">
        <v>1452999</v>
      </c>
    </row>
    <row r="145" spans="1:38" x14ac:dyDescent="0.2">
      <c r="A145">
        <v>164</v>
      </c>
      <c r="B145" t="s">
        <v>320</v>
      </c>
      <c r="C145" t="s">
        <v>777</v>
      </c>
      <c r="D145" t="s">
        <v>1073</v>
      </c>
      <c r="E145" t="s">
        <v>1247</v>
      </c>
      <c r="F145" t="s">
        <v>1309</v>
      </c>
      <c r="G145" s="7">
        <v>500</v>
      </c>
      <c r="H145" t="str">
        <f t="shared" si="14"/>
        <v>Z</v>
      </c>
      <c r="I145" s="1">
        <v>2958426</v>
      </c>
      <c r="J145" s="1">
        <v>58813</v>
      </c>
      <c r="K145" s="1">
        <v>55947</v>
      </c>
      <c r="L145" s="1">
        <v>41299</v>
      </c>
      <c r="M145" s="1">
        <v>9658</v>
      </c>
      <c r="N145" s="1">
        <v>1613233</v>
      </c>
      <c r="O145" s="2">
        <f t="shared" si="10"/>
        <v>0.54530111620165589</v>
      </c>
      <c r="P145">
        <f t="shared" si="11"/>
        <v>1</v>
      </c>
      <c r="Q145" s="1">
        <v>352</v>
      </c>
      <c r="R145" s="1">
        <v>88668</v>
      </c>
      <c r="S145" s="1">
        <v>1053512</v>
      </c>
      <c r="T145" s="1">
        <v>77651</v>
      </c>
      <c r="U145" s="1">
        <v>975861</v>
      </c>
      <c r="V145" s="1">
        <v>433318</v>
      </c>
      <c r="W145" s="1">
        <v>585519</v>
      </c>
      <c r="X145" s="1">
        <v>2249639</v>
      </c>
      <c r="Y145" s="1">
        <v>54319</v>
      </c>
      <c r="Z145" s="1">
        <v>65942</v>
      </c>
      <c r="AA145" s="1">
        <v>55787</v>
      </c>
      <c r="AB145" s="1">
        <v>3982</v>
      </c>
      <c r="AC145" s="1">
        <v>1206867</v>
      </c>
      <c r="AD145" s="2">
        <f t="shared" si="12"/>
        <v>0.53647140719022035</v>
      </c>
      <c r="AE145">
        <f t="shared" si="13"/>
        <v>1</v>
      </c>
      <c r="AF145" s="1">
        <v>257</v>
      </c>
      <c r="AG145" s="1">
        <v>84744</v>
      </c>
      <c r="AH145" s="1">
        <v>916239</v>
      </c>
      <c r="AI145" s="1">
        <v>52495</v>
      </c>
      <c r="AJ145" s="1">
        <v>863744</v>
      </c>
      <c r="AK145" s="1">
        <v>707708</v>
      </c>
      <c r="AL145" s="1">
        <v>208530</v>
      </c>
    </row>
    <row r="146" spans="1:38" x14ac:dyDescent="0.2">
      <c r="A146">
        <v>165</v>
      </c>
      <c r="B146" t="s">
        <v>144</v>
      </c>
      <c r="C146" t="s">
        <v>600</v>
      </c>
      <c r="D146" t="s">
        <v>989</v>
      </c>
      <c r="E146" t="s">
        <v>1125</v>
      </c>
      <c r="F146" t="s">
        <v>1302</v>
      </c>
      <c r="G146" s="7">
        <v>500</v>
      </c>
      <c r="H146" t="str">
        <f t="shared" si="14"/>
        <v>Z</v>
      </c>
      <c r="I146" s="1">
        <v>2678996</v>
      </c>
      <c r="J146" s="1">
        <v>46408</v>
      </c>
      <c r="K146" s="1">
        <v>-113955</v>
      </c>
      <c r="L146" s="1">
        <v>-95427</v>
      </c>
      <c r="M146" s="1">
        <v>1456</v>
      </c>
      <c r="N146" s="1">
        <v>105786</v>
      </c>
      <c r="O146" s="2">
        <f t="shared" si="10"/>
        <v>3.9487181018560684E-2</v>
      </c>
      <c r="P146">
        <f t="shared" si="11"/>
        <v>0</v>
      </c>
      <c r="Q146" s="1">
        <v>159</v>
      </c>
      <c r="R146" s="1">
        <v>20350.141800000001</v>
      </c>
      <c r="S146" s="1">
        <v>874423</v>
      </c>
      <c r="T146" s="1">
        <v>153208</v>
      </c>
      <c r="U146" s="1">
        <v>721215</v>
      </c>
      <c r="V146" s="1">
        <v>23060</v>
      </c>
      <c r="W146" s="1">
        <v>804611</v>
      </c>
      <c r="X146" s="1">
        <v>6035308.0001600003</v>
      </c>
      <c r="Y146" s="1">
        <v>193558.99169</v>
      </c>
      <c r="Z146" s="1">
        <v>370178.04777</v>
      </c>
      <c r="AA146" s="1">
        <v>297891.09058999998</v>
      </c>
      <c r="AB146" s="1">
        <v>869.01496999999995</v>
      </c>
      <c r="AC146" s="1">
        <v>18620</v>
      </c>
      <c r="AD146" s="2">
        <f t="shared" si="12"/>
        <v>3.0851780885923917E-3</v>
      </c>
      <c r="AE146">
        <f t="shared" si="13"/>
        <v>0</v>
      </c>
      <c r="AF146" s="1">
        <v>752</v>
      </c>
      <c r="AG146" s="1">
        <v>35285.045760000001</v>
      </c>
      <c r="AH146" s="1">
        <v>2208484.89396</v>
      </c>
      <c r="AI146" s="1">
        <v>227119.50966000001</v>
      </c>
      <c r="AJ146" s="1">
        <v>1981365.3843</v>
      </c>
      <c r="AK146" s="1">
        <v>665562.72158000001</v>
      </c>
      <c r="AL146" s="1">
        <v>1542922.1723799999</v>
      </c>
    </row>
    <row r="147" spans="1:38" x14ac:dyDescent="0.2">
      <c r="A147">
        <v>166</v>
      </c>
      <c r="B147" t="s">
        <v>258</v>
      </c>
      <c r="C147" t="s">
        <v>714</v>
      </c>
      <c r="D147" t="s">
        <v>971</v>
      </c>
      <c r="E147" t="s">
        <v>1194</v>
      </c>
      <c r="F147" t="s">
        <v>1305</v>
      </c>
      <c r="G147" s="7">
        <v>500</v>
      </c>
      <c r="H147" t="str">
        <f t="shared" si="14"/>
        <v>Z</v>
      </c>
      <c r="I147" s="1">
        <v>2670321.6718799998</v>
      </c>
      <c r="J147" s="1">
        <v>84505</v>
      </c>
      <c r="K147" s="1">
        <v>86689</v>
      </c>
      <c r="L147" s="1">
        <v>75384</v>
      </c>
      <c r="M147" s="1">
        <v>55836</v>
      </c>
      <c r="N147" s="1">
        <v>2489493</v>
      </c>
      <c r="O147" s="2">
        <f t="shared" si="10"/>
        <v>0.93228206407331815</v>
      </c>
      <c r="P147">
        <f t="shared" si="11"/>
        <v>1</v>
      </c>
      <c r="Q147" s="1">
        <v>2689</v>
      </c>
      <c r="R147" s="1">
        <v>256555.47790999999</v>
      </c>
      <c r="S147" s="1">
        <v>1318881</v>
      </c>
      <c r="T147" s="1">
        <v>472143</v>
      </c>
      <c r="U147" s="1">
        <v>846738</v>
      </c>
      <c r="V147" s="1">
        <v>745298</v>
      </c>
      <c r="W147" s="1">
        <v>573583.24627</v>
      </c>
      <c r="X147" s="1">
        <v>2872913.7558300002</v>
      </c>
      <c r="Y147" s="1">
        <v>77703.786069999987</v>
      </c>
      <c r="Z147" s="1">
        <v>67988.755359999996</v>
      </c>
      <c r="AA147" s="1">
        <v>65555.27506</v>
      </c>
      <c r="AB147" s="1">
        <v>54077.892140000004</v>
      </c>
      <c r="AC147" s="1">
        <v>2114797</v>
      </c>
      <c r="AD147" s="2">
        <f t="shared" si="12"/>
        <v>0.7361157277027357</v>
      </c>
      <c r="AE147">
        <f t="shared" si="13"/>
        <v>1</v>
      </c>
      <c r="AF147" s="1">
        <v>2775</v>
      </c>
      <c r="AG147" s="1">
        <v>388594.84168999997</v>
      </c>
      <c r="AH147" s="1">
        <v>2307960.8832399999</v>
      </c>
      <c r="AI147" s="1">
        <v>309081.48551999999</v>
      </c>
      <c r="AJ147" s="1">
        <v>1998879.39772</v>
      </c>
      <c r="AK147" s="1">
        <v>1106132.2021300001</v>
      </c>
      <c r="AL147" s="1">
        <v>1201828.68111</v>
      </c>
    </row>
    <row r="148" spans="1:38" x14ac:dyDescent="0.2">
      <c r="A148">
        <v>167</v>
      </c>
      <c r="B148" t="s">
        <v>492</v>
      </c>
      <c r="C148" t="s">
        <v>510</v>
      </c>
      <c r="D148" t="s">
        <v>1036</v>
      </c>
      <c r="E148" t="s">
        <v>1210</v>
      </c>
      <c r="F148" t="s">
        <v>1305</v>
      </c>
      <c r="G148" s="7">
        <v>500</v>
      </c>
      <c r="H148" t="str">
        <f t="shared" si="14"/>
        <v>Z</v>
      </c>
      <c r="I148" s="1">
        <v>1631817</v>
      </c>
      <c r="J148" s="1">
        <v>101849.60000000001</v>
      </c>
      <c r="K148" s="1">
        <v>84140.436520000003</v>
      </c>
      <c r="L148" s="1">
        <v>64809</v>
      </c>
      <c r="M148" s="1">
        <v>72497</v>
      </c>
      <c r="N148" s="1">
        <v>1110967</v>
      </c>
      <c r="O148" s="2">
        <f t="shared" si="10"/>
        <v>0.68081592482490372</v>
      </c>
      <c r="P148">
        <f t="shared" si="11"/>
        <v>1</v>
      </c>
      <c r="Q148" s="1">
        <v>1715</v>
      </c>
      <c r="R148" s="1">
        <v>156911.46612</v>
      </c>
      <c r="S148" s="1">
        <v>1090270.4949700001</v>
      </c>
      <c r="T148" s="1">
        <v>621116.93348999997</v>
      </c>
      <c r="U148" s="1">
        <v>469153.56147999997</v>
      </c>
      <c r="V148" s="1">
        <v>305464</v>
      </c>
      <c r="W148" s="1">
        <v>784806.77211000002</v>
      </c>
      <c r="X148" s="1">
        <v>782812</v>
      </c>
      <c r="Y148" s="1">
        <v>-91527</v>
      </c>
      <c r="Z148" s="1">
        <v>-101237</v>
      </c>
      <c r="AA148" s="1">
        <v>-107646</v>
      </c>
      <c r="AB148" s="1">
        <v>49316</v>
      </c>
      <c r="AC148" s="1">
        <v>499296</v>
      </c>
      <c r="AD148" s="2">
        <f t="shared" si="12"/>
        <v>0.63782364092527966</v>
      </c>
      <c r="AE148">
        <f t="shared" si="13"/>
        <v>1</v>
      </c>
      <c r="AF148" s="1">
        <v>1251</v>
      </c>
      <c r="AG148" s="1">
        <v>77787</v>
      </c>
      <c r="AH148" s="1">
        <v>606185</v>
      </c>
      <c r="AI148" s="1">
        <v>230040</v>
      </c>
      <c r="AJ148" s="1">
        <v>376145</v>
      </c>
      <c r="AK148" s="1">
        <v>-108568</v>
      </c>
      <c r="AL148" s="1">
        <v>714753</v>
      </c>
    </row>
    <row r="149" spans="1:38" x14ac:dyDescent="0.2">
      <c r="A149">
        <v>169</v>
      </c>
      <c r="B149" t="s">
        <v>240</v>
      </c>
      <c r="C149" t="s">
        <v>696</v>
      </c>
      <c r="D149" t="s">
        <v>969</v>
      </c>
      <c r="E149" t="s">
        <v>1126</v>
      </c>
      <c r="F149" t="s">
        <v>1304</v>
      </c>
      <c r="G149" s="7">
        <v>500</v>
      </c>
      <c r="H149" t="str">
        <f t="shared" si="14"/>
        <v>Z</v>
      </c>
      <c r="I149" s="1">
        <v>2622951</v>
      </c>
      <c r="J149" s="1">
        <v>82953</v>
      </c>
      <c r="K149" s="1">
        <v>68714</v>
      </c>
      <c r="L149" s="1">
        <v>106486</v>
      </c>
      <c r="M149" s="1">
        <v>79174</v>
      </c>
      <c r="N149" s="1">
        <v>1570280</v>
      </c>
      <c r="O149" s="2">
        <f t="shared" si="10"/>
        <v>0.59866920884149188</v>
      </c>
      <c r="P149">
        <f t="shared" si="11"/>
        <v>1</v>
      </c>
      <c r="Q149" s="1">
        <v>773</v>
      </c>
      <c r="R149" s="1">
        <v>121181</v>
      </c>
      <c r="S149" s="1">
        <v>1853757</v>
      </c>
      <c r="T149" s="1">
        <v>987500</v>
      </c>
      <c r="U149" s="1">
        <v>866257</v>
      </c>
      <c r="V149" s="1">
        <v>468567</v>
      </c>
      <c r="W149" s="1">
        <v>1385190</v>
      </c>
      <c r="X149" s="1">
        <v>3087878</v>
      </c>
      <c r="Y149" s="1">
        <v>86422</v>
      </c>
      <c r="Z149" s="1">
        <v>100132</v>
      </c>
      <c r="AA149" s="1">
        <v>74846</v>
      </c>
      <c r="AB149" s="1">
        <v>670</v>
      </c>
      <c r="AC149" s="1">
        <v>13316</v>
      </c>
      <c r="AD149" s="2">
        <f t="shared" si="12"/>
        <v>4.3123465370069674E-3</v>
      </c>
      <c r="AE149">
        <f t="shared" si="13"/>
        <v>0</v>
      </c>
      <c r="AF149" s="1">
        <v>177</v>
      </c>
      <c r="AG149" s="1">
        <v>63731</v>
      </c>
      <c r="AH149" s="1">
        <v>672183</v>
      </c>
      <c r="AI149" s="1">
        <v>26101</v>
      </c>
      <c r="AJ149" s="1">
        <v>646082</v>
      </c>
      <c r="AK149" s="1">
        <v>372266</v>
      </c>
      <c r="AL149" s="1">
        <v>299917</v>
      </c>
    </row>
    <row r="150" spans="1:38" x14ac:dyDescent="0.2">
      <c r="A150">
        <v>170</v>
      </c>
      <c r="B150" t="s">
        <v>326</v>
      </c>
      <c r="C150" t="s">
        <v>783</v>
      </c>
      <c r="D150" t="s">
        <v>966</v>
      </c>
      <c r="E150" t="s">
        <v>1123</v>
      </c>
      <c r="F150" t="s">
        <v>1301</v>
      </c>
      <c r="G150" s="7">
        <v>400</v>
      </c>
      <c r="H150" t="str">
        <f t="shared" si="14"/>
        <v>K</v>
      </c>
      <c r="I150" s="1">
        <v>2234892.3776600002</v>
      </c>
      <c r="J150" s="1">
        <v>267724.37874999997</v>
      </c>
      <c r="K150" s="1">
        <v>239930.72042999999</v>
      </c>
      <c r="L150" s="1">
        <v>208029.53104999999</v>
      </c>
      <c r="M150" s="1">
        <v>126700.86721</v>
      </c>
      <c r="N150" s="1">
        <v>0</v>
      </c>
      <c r="O150" s="2">
        <f t="shared" si="10"/>
        <v>0</v>
      </c>
      <c r="P150">
        <f t="shared" si="11"/>
        <v>0</v>
      </c>
      <c r="Q150" s="1">
        <v>6501</v>
      </c>
      <c r="R150" s="1">
        <v>301104</v>
      </c>
      <c r="S150" s="1">
        <v>970175.55682000006</v>
      </c>
      <c r="T150" s="1">
        <v>687482.95761000004</v>
      </c>
      <c r="U150" s="1">
        <v>282392.59921000001</v>
      </c>
      <c r="V150" s="1">
        <v>82231.667379999999</v>
      </c>
      <c r="W150" s="1">
        <v>887943.88944000006</v>
      </c>
      <c r="X150" s="1">
        <v>2229231.5075099999</v>
      </c>
      <c r="Y150" s="1">
        <v>-161956.03805999999</v>
      </c>
      <c r="Z150" s="1">
        <v>-251597.80932999999</v>
      </c>
      <c r="AA150" s="1">
        <v>-251328.25021999999</v>
      </c>
      <c r="AB150" s="1">
        <v>103689</v>
      </c>
      <c r="AC150" s="1">
        <v>0</v>
      </c>
      <c r="AD150" s="2">
        <f t="shared" si="12"/>
        <v>0</v>
      </c>
      <c r="AE150">
        <f t="shared" si="13"/>
        <v>0</v>
      </c>
      <c r="AF150" s="1">
        <v>2724</v>
      </c>
      <c r="AG150" s="1">
        <v>241668</v>
      </c>
      <c r="AH150" s="1">
        <v>815075.64146999991</v>
      </c>
      <c r="AI150" s="1">
        <v>613292.92160999996</v>
      </c>
      <c r="AJ150" s="1">
        <v>201782.71986000001</v>
      </c>
      <c r="AK150" s="1">
        <v>-1007673.43138</v>
      </c>
      <c r="AL150" s="1">
        <v>1822749.07283</v>
      </c>
    </row>
    <row r="151" spans="1:38" x14ac:dyDescent="0.2">
      <c r="A151">
        <v>171</v>
      </c>
      <c r="B151" t="s">
        <v>184</v>
      </c>
      <c r="C151" t="s">
        <v>640</v>
      </c>
      <c r="D151" t="s">
        <v>1005</v>
      </c>
      <c r="E151" t="s">
        <v>1195</v>
      </c>
      <c r="F151" t="s">
        <v>1306</v>
      </c>
      <c r="G151" s="7">
        <v>500</v>
      </c>
      <c r="H151" t="str">
        <f t="shared" si="14"/>
        <v>Z</v>
      </c>
      <c r="I151" s="1">
        <v>2614232</v>
      </c>
      <c r="J151" s="1">
        <v>252265</v>
      </c>
      <c r="K151" s="1">
        <v>253454</v>
      </c>
      <c r="L151" s="1">
        <v>207834</v>
      </c>
      <c r="M151" s="1">
        <v>131831</v>
      </c>
      <c r="N151" s="1">
        <v>1934819</v>
      </c>
      <c r="O151" s="2">
        <f t="shared" si="10"/>
        <v>0.74010990608331628</v>
      </c>
      <c r="P151">
        <f t="shared" si="11"/>
        <v>1</v>
      </c>
      <c r="Q151" s="1">
        <v>3620</v>
      </c>
      <c r="R151" s="1">
        <v>335810</v>
      </c>
      <c r="S151" s="1">
        <v>2782983</v>
      </c>
      <c r="T151" s="1">
        <v>1972311</v>
      </c>
      <c r="U151" s="1">
        <v>810672</v>
      </c>
      <c r="V151" s="1">
        <v>1783819</v>
      </c>
      <c r="W151" s="1">
        <v>999164</v>
      </c>
      <c r="X151" s="1">
        <v>4222489</v>
      </c>
      <c r="Y151" s="1">
        <v>305456</v>
      </c>
      <c r="Z151" s="1">
        <v>307815</v>
      </c>
      <c r="AA151" s="1">
        <v>249587</v>
      </c>
      <c r="AB151" s="1">
        <v>147214</v>
      </c>
      <c r="AC151" s="1">
        <v>3010465</v>
      </c>
      <c r="AD151" s="2">
        <f t="shared" si="12"/>
        <v>0.71295982061764995</v>
      </c>
      <c r="AE151">
        <f t="shared" si="13"/>
        <v>1</v>
      </c>
      <c r="AF151" s="1">
        <v>3832</v>
      </c>
      <c r="AG151" s="1">
        <v>542029</v>
      </c>
      <c r="AH151" s="1">
        <v>2876480</v>
      </c>
      <c r="AI151" s="1">
        <v>1567914</v>
      </c>
      <c r="AJ151" s="1">
        <v>1308566</v>
      </c>
      <c r="AK151" s="1">
        <v>1909320</v>
      </c>
      <c r="AL151" s="1">
        <v>967160</v>
      </c>
    </row>
    <row r="152" spans="1:38" x14ac:dyDescent="0.2">
      <c r="A152">
        <v>172</v>
      </c>
      <c r="B152" t="s">
        <v>389</v>
      </c>
      <c r="C152" t="s">
        <v>846</v>
      </c>
      <c r="D152" t="s">
        <v>992</v>
      </c>
      <c r="E152" t="s">
        <v>1152</v>
      </c>
      <c r="F152" t="s">
        <v>1307</v>
      </c>
      <c r="G152" s="7">
        <v>500</v>
      </c>
      <c r="H152" t="str">
        <f t="shared" si="14"/>
        <v>Z</v>
      </c>
      <c r="I152" s="1">
        <v>2595749.93071</v>
      </c>
      <c r="J152" s="1">
        <v>120852</v>
      </c>
      <c r="K152" s="1">
        <v>122922</v>
      </c>
      <c r="L152" s="1">
        <v>91894</v>
      </c>
      <c r="M152" s="1">
        <v>23293</v>
      </c>
      <c r="N152" s="1">
        <v>1761185</v>
      </c>
      <c r="O152" s="2">
        <f t="shared" si="10"/>
        <v>0.67848793104591298</v>
      </c>
      <c r="P152">
        <f t="shared" si="11"/>
        <v>1</v>
      </c>
      <c r="Q152" s="1">
        <v>670</v>
      </c>
      <c r="R152" s="1">
        <v>114260.53899</v>
      </c>
      <c r="S152" s="1">
        <v>1421450</v>
      </c>
      <c r="T152" s="1">
        <v>87022</v>
      </c>
      <c r="U152" s="1">
        <v>1334428</v>
      </c>
      <c r="V152" s="1">
        <v>125314</v>
      </c>
      <c r="W152" s="1">
        <v>1296136.4352899999</v>
      </c>
      <c r="X152" s="1">
        <v>1686403.68065</v>
      </c>
      <c r="Y152" s="1">
        <v>129043.94769</v>
      </c>
      <c r="Z152" s="1">
        <v>81514.35420999999</v>
      </c>
      <c r="AA152" s="1">
        <v>60527.430009999996</v>
      </c>
      <c r="AB152" s="1">
        <v>5854.4488799999999</v>
      </c>
      <c r="AC152" s="1">
        <v>683560</v>
      </c>
      <c r="AD152" s="2">
        <f t="shared" si="12"/>
        <v>0.40533592747884162</v>
      </c>
      <c r="AE152">
        <f t="shared" si="13"/>
        <v>0</v>
      </c>
      <c r="AF152" s="1">
        <v>557</v>
      </c>
      <c r="AG152" s="1">
        <v>132942.11944000001</v>
      </c>
      <c r="AH152" s="1">
        <v>1020036.69604</v>
      </c>
      <c r="AI152" s="1">
        <v>43966.489759999997</v>
      </c>
      <c r="AJ152" s="1">
        <v>976070.20628000004</v>
      </c>
      <c r="AK152" s="1">
        <v>85223.904389999996</v>
      </c>
      <c r="AL152" s="1">
        <v>934812.79165000003</v>
      </c>
    </row>
    <row r="153" spans="1:38" x14ac:dyDescent="0.2">
      <c r="A153">
        <v>173</v>
      </c>
      <c r="B153" t="s">
        <v>159</v>
      </c>
      <c r="C153" t="s">
        <v>615</v>
      </c>
      <c r="D153" t="s">
        <v>982</v>
      </c>
      <c r="E153" t="s">
        <v>1146</v>
      </c>
      <c r="F153" t="s">
        <v>1300</v>
      </c>
      <c r="G153" s="7">
        <v>400</v>
      </c>
      <c r="H153" t="str">
        <f t="shared" si="14"/>
        <v>K</v>
      </c>
      <c r="I153" s="1">
        <v>2562160</v>
      </c>
      <c r="J153" s="1">
        <v>42932</v>
      </c>
      <c r="K153" s="1">
        <v>36417</v>
      </c>
      <c r="L153" s="1">
        <v>29649</v>
      </c>
      <c r="M153" s="1">
        <v>4468</v>
      </c>
      <c r="N153" s="1">
        <v>2712</v>
      </c>
      <c r="O153" s="2">
        <f t="shared" si="10"/>
        <v>1.0584819058919038E-3</v>
      </c>
      <c r="P153">
        <f t="shared" si="11"/>
        <v>0</v>
      </c>
      <c r="Q153" s="1">
        <v>55</v>
      </c>
      <c r="R153" s="1">
        <v>3803.2572399999999</v>
      </c>
      <c r="S153" s="1">
        <v>249432.42525</v>
      </c>
      <c r="T153" s="1">
        <v>83622.652700000006</v>
      </c>
      <c r="U153" s="1">
        <v>165809.77254999999</v>
      </c>
      <c r="V153" s="1">
        <v>128684.75521</v>
      </c>
      <c r="W153" s="1">
        <v>190747.67004</v>
      </c>
      <c r="X153" s="1">
        <v>5129390.81635</v>
      </c>
      <c r="Y153" s="1">
        <v>91054.647700000001</v>
      </c>
      <c r="Z153" s="1">
        <v>97738.290989999994</v>
      </c>
      <c r="AA153" s="1">
        <v>96778.144990000001</v>
      </c>
      <c r="AB153" s="1">
        <v>14264.9434</v>
      </c>
      <c r="AC153" s="1">
        <v>150730</v>
      </c>
      <c r="AD153" s="2">
        <f t="shared" si="12"/>
        <v>2.9385555789499637E-2</v>
      </c>
      <c r="AE153">
        <f t="shared" si="13"/>
        <v>0</v>
      </c>
      <c r="AF153" s="1">
        <v>73</v>
      </c>
      <c r="AG153" s="1">
        <v>14561.98704</v>
      </c>
      <c r="AH153" s="1">
        <v>1014134.81987</v>
      </c>
      <c r="AI153" s="1">
        <v>200972.85647</v>
      </c>
      <c r="AJ153" s="1">
        <v>813161.96340000001</v>
      </c>
      <c r="AK153" s="1">
        <v>702173.71435000002</v>
      </c>
      <c r="AL153" s="1">
        <v>311961.10551999998</v>
      </c>
    </row>
    <row r="154" spans="1:38" x14ac:dyDescent="0.2">
      <c r="A154">
        <v>174</v>
      </c>
      <c r="B154" t="s">
        <v>292</v>
      </c>
      <c r="C154" t="s">
        <v>748</v>
      </c>
      <c r="D154" t="s">
        <v>52</v>
      </c>
      <c r="E154" t="s">
        <v>1206</v>
      </c>
      <c r="F154" t="s">
        <v>1306</v>
      </c>
      <c r="G154" s="7">
        <v>500</v>
      </c>
      <c r="H154" t="str">
        <f t="shared" si="14"/>
        <v>Z</v>
      </c>
      <c r="I154" s="1">
        <v>2558444.89928</v>
      </c>
      <c r="J154" s="1">
        <v>307542.4129983391</v>
      </c>
      <c r="K154" s="1">
        <v>321457</v>
      </c>
      <c r="L154" s="1">
        <v>149610.94449333911</v>
      </c>
      <c r="M154" s="1">
        <v>136743.12675</v>
      </c>
      <c r="N154" s="1">
        <v>1454428.6748299999</v>
      </c>
      <c r="O154" s="2">
        <f t="shared" si="10"/>
        <v>0.56848153158948489</v>
      </c>
      <c r="P154">
        <f t="shared" si="11"/>
        <v>1</v>
      </c>
      <c r="Q154" s="1">
        <v>1842</v>
      </c>
      <c r="R154" s="1">
        <v>184617.91878000001</v>
      </c>
      <c r="S154" s="1">
        <v>1866356</v>
      </c>
      <c r="T154" s="1">
        <v>1021989</v>
      </c>
      <c r="U154" s="1">
        <v>844367</v>
      </c>
      <c r="V154" s="1">
        <v>1343995.3010433391</v>
      </c>
      <c r="W154" s="1">
        <v>522360.83717999997</v>
      </c>
      <c r="X154" s="1">
        <v>2503978.0616199998</v>
      </c>
      <c r="Y154" s="1">
        <v>18788.74495</v>
      </c>
      <c r="Z154" s="1">
        <v>-40095.881659999999</v>
      </c>
      <c r="AA154" s="1">
        <v>-61659.825720000001</v>
      </c>
      <c r="AB154" s="1">
        <v>137640.89011000001</v>
      </c>
      <c r="AC154" s="1">
        <v>1433147</v>
      </c>
      <c r="AD154" s="2">
        <f t="shared" si="12"/>
        <v>0.57234806565070151</v>
      </c>
      <c r="AE154">
        <f t="shared" si="13"/>
        <v>1</v>
      </c>
      <c r="AF154" s="1">
        <v>1414</v>
      </c>
      <c r="AG154" s="1">
        <v>189759.64185000001</v>
      </c>
      <c r="AH154" s="1">
        <v>1981049.31072</v>
      </c>
      <c r="AI154" s="1">
        <v>951862.66521999997</v>
      </c>
      <c r="AJ154" s="1">
        <v>1029186.6455</v>
      </c>
      <c r="AK154" s="1">
        <v>636281.39764999994</v>
      </c>
      <c r="AL154" s="1">
        <v>1344767.91307</v>
      </c>
    </row>
    <row r="155" spans="1:38" x14ac:dyDescent="0.2">
      <c r="A155">
        <v>175</v>
      </c>
      <c r="B155" t="s">
        <v>179</v>
      </c>
      <c r="C155" t="s">
        <v>635</v>
      </c>
      <c r="D155" t="s">
        <v>984</v>
      </c>
      <c r="E155" t="s">
        <v>1142</v>
      </c>
      <c r="F155" t="s">
        <v>1302</v>
      </c>
      <c r="G155" s="7">
        <v>400</v>
      </c>
      <c r="H155" t="str">
        <f t="shared" si="14"/>
        <v>K</v>
      </c>
      <c r="I155" s="1">
        <v>2491086</v>
      </c>
      <c r="J155" s="1">
        <v>160443</v>
      </c>
      <c r="K155" s="1">
        <v>136879</v>
      </c>
      <c r="L155" s="1">
        <v>109036</v>
      </c>
      <c r="M155" s="1">
        <v>101453</v>
      </c>
      <c r="N155" s="1">
        <v>214098</v>
      </c>
      <c r="O155" s="2">
        <f t="shared" si="10"/>
        <v>8.5945647801802111E-2</v>
      </c>
      <c r="P155">
        <f t="shared" si="11"/>
        <v>0</v>
      </c>
      <c r="Q155" s="1">
        <v>185</v>
      </c>
      <c r="R155" s="1">
        <v>39502</v>
      </c>
      <c r="S155" s="1">
        <v>2479761</v>
      </c>
      <c r="T155" s="1">
        <v>1881025</v>
      </c>
      <c r="U155" s="1">
        <v>598736</v>
      </c>
      <c r="V155" s="1">
        <v>1295244</v>
      </c>
      <c r="W155" s="1">
        <v>1184517</v>
      </c>
      <c r="X155" s="1">
        <v>4320530</v>
      </c>
      <c r="Y155" s="1">
        <v>467778</v>
      </c>
      <c r="Z155" s="1">
        <v>396015</v>
      </c>
      <c r="AA155" s="1">
        <v>301166</v>
      </c>
      <c r="AB155" s="1">
        <v>174346</v>
      </c>
      <c r="AC155" s="1">
        <v>302437.09999999998</v>
      </c>
      <c r="AD155" s="2">
        <f t="shared" si="12"/>
        <v>6.9999999999999993E-2</v>
      </c>
      <c r="AE155">
        <f t="shared" si="13"/>
        <v>0</v>
      </c>
      <c r="AF155" s="1">
        <v>490</v>
      </c>
      <c r="AG155" s="1">
        <v>178462</v>
      </c>
      <c r="AH155" s="1">
        <v>7530268</v>
      </c>
      <c r="AI155" s="1">
        <v>5447865</v>
      </c>
      <c r="AJ155" s="1">
        <v>2082403</v>
      </c>
      <c r="AK155" s="1">
        <v>4303511</v>
      </c>
      <c r="AL155" s="1">
        <v>3226757</v>
      </c>
    </row>
    <row r="156" spans="1:38" x14ac:dyDescent="0.2">
      <c r="A156">
        <v>177</v>
      </c>
      <c r="B156" t="s">
        <v>200</v>
      </c>
      <c r="C156" t="s">
        <v>656</v>
      </c>
      <c r="D156" t="s">
        <v>1032</v>
      </c>
      <c r="E156" t="s">
        <v>1204</v>
      </c>
      <c r="F156" t="s">
        <v>1311</v>
      </c>
      <c r="G156" s="7">
        <v>500</v>
      </c>
      <c r="H156" t="str">
        <f t="shared" si="14"/>
        <v>Z</v>
      </c>
      <c r="I156" s="1">
        <v>2482394</v>
      </c>
      <c r="J156" s="1">
        <v>5499</v>
      </c>
      <c r="K156" s="1">
        <v>6825</v>
      </c>
      <c r="L156" s="1">
        <v>5173</v>
      </c>
      <c r="M156" s="1">
        <v>2280</v>
      </c>
      <c r="N156" s="1">
        <v>8366</v>
      </c>
      <c r="O156" s="2">
        <f t="shared" si="10"/>
        <v>3.3701338304878274E-3</v>
      </c>
      <c r="P156">
        <f t="shared" si="11"/>
        <v>0</v>
      </c>
      <c r="Q156" s="1">
        <v>467</v>
      </c>
      <c r="R156" s="1">
        <v>50441</v>
      </c>
      <c r="S156" s="1">
        <v>265899</v>
      </c>
      <c r="T156" s="1">
        <v>50530</v>
      </c>
      <c r="U156" s="1">
        <v>215369</v>
      </c>
      <c r="V156" s="1">
        <v>12254</v>
      </c>
      <c r="W156" s="1">
        <v>253645</v>
      </c>
      <c r="X156" s="1">
        <v>3899888</v>
      </c>
      <c r="Y156" s="1">
        <v>3378</v>
      </c>
      <c r="Z156" s="1">
        <v>7788</v>
      </c>
      <c r="AA156" s="1">
        <v>3536</v>
      </c>
      <c r="AB156" s="1">
        <v>4956</v>
      </c>
      <c r="AC156" s="1">
        <v>9266</v>
      </c>
      <c r="AD156" s="2">
        <f t="shared" si="12"/>
        <v>2.3759656687576667E-3</v>
      </c>
      <c r="AE156">
        <f t="shared" si="13"/>
        <v>0</v>
      </c>
      <c r="AF156" s="1">
        <v>579</v>
      </c>
      <c r="AG156" s="1">
        <v>85589</v>
      </c>
      <c r="AH156" s="1">
        <v>377738</v>
      </c>
      <c r="AI156" s="1">
        <v>27782</v>
      </c>
      <c r="AJ156" s="1">
        <v>349956</v>
      </c>
      <c r="AK156" s="1">
        <v>10617</v>
      </c>
      <c r="AL156" s="1">
        <v>367121</v>
      </c>
    </row>
    <row r="157" spans="1:38" x14ac:dyDescent="0.2">
      <c r="A157">
        <v>178</v>
      </c>
      <c r="B157" t="s">
        <v>165</v>
      </c>
      <c r="C157" t="s">
        <v>621</v>
      </c>
      <c r="D157" t="s">
        <v>44</v>
      </c>
      <c r="E157" t="s">
        <v>1186</v>
      </c>
      <c r="F157" t="s">
        <v>1306</v>
      </c>
      <c r="G157" s="7">
        <v>400</v>
      </c>
      <c r="H157" t="str">
        <f t="shared" si="14"/>
        <v>K</v>
      </c>
      <c r="I157" s="1">
        <v>2470472.8513099998</v>
      </c>
      <c r="J157" s="1">
        <v>99736.580369999996</v>
      </c>
      <c r="K157" s="1">
        <v>90436.587830000004</v>
      </c>
      <c r="L157" s="1">
        <v>74649.722829999999</v>
      </c>
      <c r="M157" s="1">
        <v>36217.133479999997</v>
      </c>
      <c r="N157" s="1">
        <v>454539</v>
      </c>
      <c r="O157" s="2">
        <f t="shared" si="10"/>
        <v>0.18398866425873689</v>
      </c>
      <c r="P157">
        <f t="shared" si="11"/>
        <v>0</v>
      </c>
      <c r="Q157" s="1">
        <v>1608</v>
      </c>
      <c r="R157" s="1">
        <v>127588.24651</v>
      </c>
      <c r="S157" s="1">
        <v>1109097.8163399999</v>
      </c>
      <c r="T157" s="1">
        <v>623664.82450999995</v>
      </c>
      <c r="U157" s="1">
        <v>485432.99183000001</v>
      </c>
      <c r="V157" s="1">
        <v>453949.53856000002</v>
      </c>
      <c r="W157" s="1">
        <v>655148.27778</v>
      </c>
      <c r="X157" s="1">
        <v>4897732.76052</v>
      </c>
      <c r="Y157" s="1">
        <v>235649.05827000001</v>
      </c>
      <c r="Z157" s="1">
        <v>207043.61723999999</v>
      </c>
      <c r="AA157" s="1">
        <v>182537.33523999999</v>
      </c>
      <c r="AB157" s="1">
        <v>82584.527170000001</v>
      </c>
      <c r="AC157" s="1">
        <v>1837391.93869</v>
      </c>
      <c r="AD157" s="2">
        <f t="shared" si="12"/>
        <v>0.37515153001016766</v>
      </c>
      <c r="AE157">
        <f t="shared" si="13"/>
        <v>0</v>
      </c>
      <c r="AF157" s="1">
        <v>2382.7399999999998</v>
      </c>
      <c r="AG157" s="1">
        <v>280649.31403000001</v>
      </c>
      <c r="AH157" s="1">
        <v>2239618.0532300002</v>
      </c>
      <c r="AI157" s="1">
        <v>1168585.9461600001</v>
      </c>
      <c r="AJ157" s="1">
        <v>1071032.1070699999</v>
      </c>
      <c r="AK157" s="1">
        <v>1205287.3842800001</v>
      </c>
      <c r="AL157" s="1">
        <v>1034330.66895</v>
      </c>
    </row>
    <row r="158" spans="1:38" x14ac:dyDescent="0.2">
      <c r="A158">
        <v>179</v>
      </c>
      <c r="B158" t="s">
        <v>176</v>
      </c>
      <c r="C158" t="s">
        <v>632</v>
      </c>
      <c r="D158" t="s">
        <v>977</v>
      </c>
      <c r="E158" t="s">
        <v>1134</v>
      </c>
      <c r="F158" t="s">
        <v>1305</v>
      </c>
      <c r="G158" s="7">
        <v>500</v>
      </c>
      <c r="H158" t="str">
        <f t="shared" si="14"/>
        <v>Z</v>
      </c>
      <c r="I158" s="1">
        <v>2445341</v>
      </c>
      <c r="J158" s="1">
        <v>103556</v>
      </c>
      <c r="K158" s="1">
        <v>103010</v>
      </c>
      <c r="L158" s="1">
        <v>84686</v>
      </c>
      <c r="M158" s="1">
        <v>48310</v>
      </c>
      <c r="N158" s="1">
        <v>991065</v>
      </c>
      <c r="O158" s="2">
        <f t="shared" si="10"/>
        <v>0.40528703358754464</v>
      </c>
      <c r="P158">
        <f t="shared" si="11"/>
        <v>0</v>
      </c>
      <c r="Q158" s="1">
        <v>1621</v>
      </c>
      <c r="R158" s="1">
        <v>217665.44633999999</v>
      </c>
      <c r="S158" s="1">
        <v>1005061</v>
      </c>
      <c r="T158" s="1">
        <v>506025</v>
      </c>
      <c r="U158" s="1">
        <v>499036</v>
      </c>
      <c r="V158" s="1">
        <v>447802</v>
      </c>
      <c r="W158" s="1">
        <v>557259.14826000005</v>
      </c>
      <c r="X158" s="1">
        <v>4385423.4894399997</v>
      </c>
      <c r="Y158" s="1">
        <v>132077.04889000001</v>
      </c>
      <c r="Z158" s="1">
        <v>131604.95421</v>
      </c>
      <c r="AA158" s="1">
        <v>110399.75721</v>
      </c>
      <c r="AB158" s="1">
        <v>89441.552760000006</v>
      </c>
      <c r="AC158" s="1">
        <v>2269900</v>
      </c>
      <c r="AD158" s="2">
        <f t="shared" si="12"/>
        <v>0.51760109496058193</v>
      </c>
      <c r="AE158">
        <f t="shared" si="13"/>
        <v>1</v>
      </c>
      <c r="AF158" s="1">
        <v>3084</v>
      </c>
      <c r="AG158" s="1">
        <v>720883.12414999993</v>
      </c>
      <c r="AH158" s="1">
        <v>1994755.6256200001</v>
      </c>
      <c r="AI158" s="1">
        <v>989858.78799999994</v>
      </c>
      <c r="AJ158" s="1">
        <v>1004896.83762</v>
      </c>
      <c r="AK158" s="1">
        <v>756509.39980999997</v>
      </c>
      <c r="AL158" s="1">
        <v>1238246.22581</v>
      </c>
    </row>
    <row r="159" spans="1:38" x14ac:dyDescent="0.2">
      <c r="A159">
        <v>180</v>
      </c>
      <c r="B159" t="s">
        <v>294</v>
      </c>
      <c r="C159" t="s">
        <v>750</v>
      </c>
      <c r="D159" t="s">
        <v>988</v>
      </c>
      <c r="E159" t="s">
        <v>1148</v>
      </c>
      <c r="F159" t="s">
        <v>1310</v>
      </c>
      <c r="G159" s="7">
        <v>142</v>
      </c>
      <c r="H159" t="str">
        <f t="shared" si="14"/>
        <v>K</v>
      </c>
      <c r="I159" s="1">
        <v>2432318</v>
      </c>
      <c r="J159" s="1">
        <v>48254</v>
      </c>
      <c r="K159" s="1">
        <v>54966</v>
      </c>
      <c r="L159" s="1">
        <v>43537</v>
      </c>
      <c r="M159" s="1">
        <v>126968</v>
      </c>
      <c r="N159" s="1">
        <v>815627</v>
      </c>
      <c r="O159" s="2">
        <f t="shared" si="10"/>
        <v>0.33532909759332458</v>
      </c>
      <c r="P159">
        <f t="shared" si="11"/>
        <v>0</v>
      </c>
      <c r="Q159" s="1">
        <v>3527</v>
      </c>
      <c r="R159" s="1">
        <v>380660</v>
      </c>
      <c r="S159" s="1">
        <v>2933500</v>
      </c>
      <c r="T159" s="1">
        <v>1837782</v>
      </c>
      <c r="U159" s="1">
        <v>1095718</v>
      </c>
      <c r="V159" s="1">
        <v>1337126</v>
      </c>
      <c r="W159" s="1">
        <v>1596374</v>
      </c>
      <c r="X159" s="1">
        <v>2484202</v>
      </c>
      <c r="Y159" s="1">
        <v>-50932</v>
      </c>
      <c r="Z159" s="1">
        <v>-72382</v>
      </c>
      <c r="AA159" s="1">
        <v>-71778</v>
      </c>
      <c r="AB159" s="1">
        <v>127240</v>
      </c>
      <c r="AC159" s="1">
        <v>802007</v>
      </c>
      <c r="AD159" s="2">
        <f t="shared" si="12"/>
        <v>0.32284290890998396</v>
      </c>
      <c r="AE159">
        <f t="shared" si="13"/>
        <v>0</v>
      </c>
      <c r="AF159" s="1">
        <v>2930</v>
      </c>
      <c r="AG159" s="1">
        <v>360244</v>
      </c>
      <c r="AH159" s="1">
        <v>3367082</v>
      </c>
      <c r="AI159" s="1">
        <v>2346908</v>
      </c>
      <c r="AJ159" s="1">
        <v>1020174</v>
      </c>
      <c r="AK159" s="1">
        <v>657542</v>
      </c>
      <c r="AL159" s="1">
        <v>2132426</v>
      </c>
    </row>
    <row r="160" spans="1:38" x14ac:dyDescent="0.2">
      <c r="A160">
        <v>181</v>
      </c>
      <c r="B160" t="s">
        <v>392</v>
      </c>
      <c r="C160" t="s">
        <v>849</v>
      </c>
      <c r="D160" t="s">
        <v>1083</v>
      </c>
      <c r="E160" t="s">
        <v>1257</v>
      </c>
      <c r="F160" t="s">
        <v>1306</v>
      </c>
      <c r="G160" s="7">
        <v>500</v>
      </c>
      <c r="H160" t="str">
        <f t="shared" si="14"/>
        <v>Z</v>
      </c>
      <c r="I160" s="1">
        <v>2418165.0776499999</v>
      </c>
      <c r="J160" s="1">
        <v>112104.69061999999</v>
      </c>
      <c r="K160" s="1">
        <v>114941</v>
      </c>
      <c r="L160" s="1">
        <v>83455.725180000009</v>
      </c>
      <c r="M160" s="1">
        <v>29214.586950000001</v>
      </c>
      <c r="N160" s="1">
        <v>1134954</v>
      </c>
      <c r="O160" s="2">
        <f t="shared" si="10"/>
        <v>0.46934512887059021</v>
      </c>
      <c r="P160">
        <f t="shared" si="11"/>
        <v>0</v>
      </c>
      <c r="Q160" s="1">
        <v>1513</v>
      </c>
      <c r="R160" s="1">
        <v>129604.93173</v>
      </c>
      <c r="S160" s="1">
        <v>1186747</v>
      </c>
      <c r="T160" s="1">
        <v>282072</v>
      </c>
      <c r="U160" s="1">
        <v>904675</v>
      </c>
      <c r="V160" s="1">
        <v>739243</v>
      </c>
      <c r="W160" s="1">
        <v>447592.07231000002</v>
      </c>
      <c r="X160" s="1">
        <v>1660193</v>
      </c>
      <c r="Y160" s="1">
        <v>70612</v>
      </c>
      <c r="Z160" s="1">
        <v>92701</v>
      </c>
      <c r="AA160" s="1">
        <v>74454</v>
      </c>
      <c r="AB160" s="1">
        <v>13158</v>
      </c>
      <c r="AC160" s="1">
        <v>1465342</v>
      </c>
      <c r="AD160" s="2">
        <f t="shared" si="12"/>
        <v>0.88263352513834237</v>
      </c>
      <c r="AE160">
        <f t="shared" si="13"/>
        <v>1</v>
      </c>
      <c r="AF160" s="1">
        <v>713</v>
      </c>
      <c r="AG160" s="1">
        <v>73649</v>
      </c>
      <c r="AH160" s="1">
        <v>976949</v>
      </c>
      <c r="AI160" s="1">
        <v>163508</v>
      </c>
      <c r="AJ160" s="1">
        <v>813441</v>
      </c>
      <c r="AK160" s="1">
        <v>719449</v>
      </c>
      <c r="AL160" s="1">
        <v>257500</v>
      </c>
    </row>
    <row r="161" spans="1:38" x14ac:dyDescent="0.2">
      <c r="A161">
        <v>182</v>
      </c>
      <c r="B161" t="s">
        <v>213</v>
      </c>
      <c r="C161" t="s">
        <v>669</v>
      </c>
      <c r="D161" t="s">
        <v>1035</v>
      </c>
      <c r="E161" t="s">
        <v>1209</v>
      </c>
      <c r="F161" t="s">
        <v>1306</v>
      </c>
      <c r="G161" s="7">
        <v>500</v>
      </c>
      <c r="H161" t="str">
        <f t="shared" si="14"/>
        <v>Z</v>
      </c>
      <c r="I161" s="1">
        <v>2403852</v>
      </c>
      <c r="J161" s="1">
        <v>147418</v>
      </c>
      <c r="K161" s="1">
        <v>154416</v>
      </c>
      <c r="L161" s="1">
        <v>119837</v>
      </c>
      <c r="M161" s="1">
        <v>61057</v>
      </c>
      <c r="N161" s="1">
        <v>2393432</v>
      </c>
      <c r="O161" s="2">
        <f t="shared" si="10"/>
        <v>0.99566529054201336</v>
      </c>
      <c r="P161">
        <f t="shared" si="11"/>
        <v>1</v>
      </c>
      <c r="Q161" s="1">
        <v>1688</v>
      </c>
      <c r="R161" s="1">
        <v>176256</v>
      </c>
      <c r="S161" s="1">
        <v>1248541</v>
      </c>
      <c r="T161" s="1">
        <v>463221</v>
      </c>
      <c r="U161" s="1">
        <v>785320</v>
      </c>
      <c r="V161" s="1">
        <v>293179</v>
      </c>
      <c r="W161" s="1">
        <v>955361</v>
      </c>
      <c r="X161" s="1">
        <v>3570331</v>
      </c>
      <c r="Y161" s="1">
        <v>236064</v>
      </c>
      <c r="Z161" s="1">
        <v>239202</v>
      </c>
      <c r="AA161" s="1">
        <v>195063</v>
      </c>
      <c r="AB161" s="1">
        <v>177512</v>
      </c>
      <c r="AC161" s="1">
        <v>3556020</v>
      </c>
      <c r="AD161" s="2">
        <f t="shared" si="12"/>
        <v>0.99599168816560701</v>
      </c>
      <c r="AE161">
        <f t="shared" si="13"/>
        <v>1</v>
      </c>
      <c r="AF161" s="1">
        <v>1760</v>
      </c>
      <c r="AG161" s="1">
        <v>311086</v>
      </c>
      <c r="AH161" s="1">
        <v>2513638</v>
      </c>
      <c r="AI161" s="1">
        <v>1688729</v>
      </c>
      <c r="AJ161" s="1">
        <v>824909</v>
      </c>
      <c r="AK161" s="1">
        <v>1029617</v>
      </c>
      <c r="AL161" s="1">
        <v>1484021</v>
      </c>
    </row>
    <row r="162" spans="1:38" x14ac:dyDescent="0.2">
      <c r="A162">
        <v>183</v>
      </c>
      <c r="B162" t="s">
        <v>208</v>
      </c>
      <c r="C162" t="s">
        <v>664</v>
      </c>
      <c r="D162" t="s">
        <v>33</v>
      </c>
      <c r="E162" t="s">
        <v>1173</v>
      </c>
      <c r="F162" t="s">
        <v>1308</v>
      </c>
      <c r="G162" s="7">
        <v>400</v>
      </c>
      <c r="H162" t="str">
        <f t="shared" si="14"/>
        <v>K</v>
      </c>
      <c r="I162" s="1">
        <v>1971764</v>
      </c>
      <c r="J162" s="1">
        <v>29215</v>
      </c>
      <c r="K162" s="1">
        <v>27239</v>
      </c>
      <c r="L162" s="1">
        <v>21848</v>
      </c>
      <c r="M162" s="1">
        <v>51200</v>
      </c>
      <c r="N162" s="1">
        <v>276704</v>
      </c>
      <c r="O162" s="2">
        <f t="shared" si="10"/>
        <v>0.1403332244629682</v>
      </c>
      <c r="P162">
        <f t="shared" si="11"/>
        <v>0</v>
      </c>
      <c r="Q162" s="1">
        <v>3045</v>
      </c>
      <c r="R162" s="1">
        <v>127159</v>
      </c>
      <c r="S162" s="1">
        <v>1187438</v>
      </c>
      <c r="T162" s="1">
        <v>751310</v>
      </c>
      <c r="U162" s="1">
        <v>436128</v>
      </c>
      <c r="V162" s="1">
        <v>439861</v>
      </c>
      <c r="W162" s="1">
        <v>747575</v>
      </c>
      <c r="X162" s="1">
        <v>3729608</v>
      </c>
      <c r="Y162" s="1">
        <v>68031</v>
      </c>
      <c r="Z162" s="1">
        <v>39284</v>
      </c>
      <c r="AA162" s="1">
        <v>34714</v>
      </c>
      <c r="AB162" s="1">
        <v>58886</v>
      </c>
      <c r="AC162" s="1">
        <v>370331</v>
      </c>
      <c r="AD162" s="2">
        <f t="shared" si="12"/>
        <v>9.9294885682355893E-2</v>
      </c>
      <c r="AE162">
        <f t="shared" si="13"/>
        <v>0</v>
      </c>
      <c r="AF162" s="1">
        <v>2015</v>
      </c>
      <c r="AG162" s="1">
        <v>228591</v>
      </c>
      <c r="AH162" s="1">
        <v>1367191</v>
      </c>
      <c r="AI162" s="1">
        <v>816618</v>
      </c>
      <c r="AJ162" s="1">
        <v>550573</v>
      </c>
      <c r="AK162" s="1">
        <v>582418</v>
      </c>
      <c r="AL162" s="1">
        <v>784773</v>
      </c>
    </row>
    <row r="163" spans="1:38" x14ac:dyDescent="0.2">
      <c r="A163">
        <v>184</v>
      </c>
      <c r="B163" t="s">
        <v>250</v>
      </c>
      <c r="C163" t="s">
        <v>706</v>
      </c>
      <c r="D163" t="s">
        <v>1036</v>
      </c>
      <c r="E163" t="s">
        <v>1210</v>
      </c>
      <c r="F163" t="s">
        <v>1305</v>
      </c>
      <c r="G163" s="7">
        <v>500</v>
      </c>
      <c r="H163" t="str">
        <f t="shared" si="14"/>
        <v>Z</v>
      </c>
      <c r="I163" s="1">
        <v>2269810</v>
      </c>
      <c r="J163" s="1">
        <v>255779</v>
      </c>
      <c r="K163" s="1">
        <v>253755</v>
      </c>
      <c r="L163" s="1">
        <v>224121</v>
      </c>
      <c r="M163" s="1">
        <v>57792</v>
      </c>
      <c r="N163" s="1">
        <v>2264391</v>
      </c>
      <c r="O163" s="2">
        <f t="shared" si="10"/>
        <v>0.99761257550191429</v>
      </c>
      <c r="P163">
        <f t="shared" si="11"/>
        <v>1</v>
      </c>
      <c r="Q163" s="1">
        <v>1309</v>
      </c>
      <c r="R163" s="1">
        <v>140233</v>
      </c>
      <c r="S163" s="1">
        <v>1845052</v>
      </c>
      <c r="T163" s="1">
        <v>656215</v>
      </c>
      <c r="U163" s="1">
        <v>1188837</v>
      </c>
      <c r="V163" s="1">
        <v>997869</v>
      </c>
      <c r="W163" s="1">
        <v>847183</v>
      </c>
      <c r="X163" s="1">
        <v>2976914</v>
      </c>
      <c r="Y163" s="1">
        <v>309844</v>
      </c>
      <c r="Z163" s="1">
        <v>356985</v>
      </c>
      <c r="AA163" s="1">
        <v>293291</v>
      </c>
      <c r="AB163" s="1">
        <v>81092</v>
      </c>
      <c r="AC163" s="1">
        <v>2910349</v>
      </c>
      <c r="AD163" s="2">
        <f t="shared" si="12"/>
        <v>0.97763959590367744</v>
      </c>
      <c r="AE163">
        <f t="shared" si="13"/>
        <v>1</v>
      </c>
      <c r="AF163" s="1">
        <v>1577</v>
      </c>
      <c r="AG163" s="1">
        <v>235591</v>
      </c>
      <c r="AH163" s="1">
        <v>2896884</v>
      </c>
      <c r="AI163" s="1">
        <v>535823</v>
      </c>
      <c r="AJ163" s="1">
        <v>2361061</v>
      </c>
      <c r="AK163" s="1">
        <v>2244930</v>
      </c>
      <c r="AL163" s="1">
        <v>651954</v>
      </c>
    </row>
    <row r="164" spans="1:38" x14ac:dyDescent="0.2">
      <c r="A164">
        <v>185</v>
      </c>
      <c r="B164" t="s">
        <v>156</v>
      </c>
      <c r="C164" t="s">
        <v>612</v>
      </c>
      <c r="D164" t="s">
        <v>47</v>
      </c>
      <c r="E164" t="s">
        <v>1180</v>
      </c>
      <c r="F164" t="s">
        <v>1308</v>
      </c>
      <c r="G164" s="7">
        <v>500</v>
      </c>
      <c r="H164" t="str">
        <f t="shared" si="14"/>
        <v>Z</v>
      </c>
      <c r="I164" s="1">
        <v>2391432</v>
      </c>
      <c r="J164" s="1">
        <v>236062</v>
      </c>
      <c r="K164" s="1">
        <v>226653</v>
      </c>
      <c r="L164" s="1">
        <v>171339</v>
      </c>
      <c r="M164" s="1">
        <v>80581</v>
      </c>
      <c r="N164" s="1">
        <v>161205.03</v>
      </c>
      <c r="O164" s="2">
        <f t="shared" si="10"/>
        <v>6.7409414108366872E-2</v>
      </c>
      <c r="P164">
        <f t="shared" si="11"/>
        <v>0</v>
      </c>
      <c r="Q164" s="1">
        <v>2384</v>
      </c>
      <c r="R164" s="1">
        <v>232833</v>
      </c>
      <c r="S164" s="1">
        <v>1254678</v>
      </c>
      <c r="T164" s="1">
        <v>691831</v>
      </c>
      <c r="U164" s="1">
        <v>562847</v>
      </c>
      <c r="V164" s="1">
        <v>657284</v>
      </c>
      <c r="W164" s="1">
        <v>597394</v>
      </c>
      <c r="X164" s="1">
        <v>5323476</v>
      </c>
      <c r="Y164" s="1">
        <v>421412</v>
      </c>
      <c r="Z164" s="1">
        <v>400232</v>
      </c>
      <c r="AA164" s="1">
        <v>322292</v>
      </c>
      <c r="AB164" s="1">
        <v>112281</v>
      </c>
      <c r="AC164" s="1">
        <v>281164</v>
      </c>
      <c r="AD164" s="2">
        <f t="shared" si="12"/>
        <v>5.2815866926046062E-2</v>
      </c>
      <c r="AE164">
        <f t="shared" si="13"/>
        <v>0</v>
      </c>
      <c r="AF164" s="1">
        <v>1705</v>
      </c>
      <c r="AG164" s="1">
        <v>372109</v>
      </c>
      <c r="AH164" s="1">
        <v>2027176</v>
      </c>
      <c r="AI164" s="1">
        <v>1104093</v>
      </c>
      <c r="AJ164" s="1">
        <v>923083</v>
      </c>
      <c r="AK164" s="1">
        <v>808237</v>
      </c>
      <c r="AL164" s="1">
        <v>1218939</v>
      </c>
    </row>
    <row r="165" spans="1:38" x14ac:dyDescent="0.2">
      <c r="A165">
        <v>186</v>
      </c>
      <c r="B165" t="s">
        <v>107</v>
      </c>
      <c r="C165" t="s">
        <v>563</v>
      </c>
      <c r="D165" t="s">
        <v>995</v>
      </c>
      <c r="E165" t="s">
        <v>1155</v>
      </c>
      <c r="F165" t="s">
        <v>1301</v>
      </c>
      <c r="G165" s="7">
        <v>500</v>
      </c>
      <c r="H165" t="str">
        <f t="shared" si="14"/>
        <v>Z</v>
      </c>
      <c r="I165" s="1">
        <v>2592306</v>
      </c>
      <c r="J165" s="1">
        <v>886087</v>
      </c>
      <c r="K165" s="1">
        <v>513049</v>
      </c>
      <c r="L165" s="1">
        <v>393075</v>
      </c>
      <c r="M165" s="1">
        <v>439303</v>
      </c>
      <c r="N165" s="1">
        <v>0</v>
      </c>
      <c r="O165" s="2">
        <f t="shared" si="10"/>
        <v>0</v>
      </c>
      <c r="P165">
        <f t="shared" si="11"/>
        <v>0</v>
      </c>
      <c r="Q165" s="1">
        <v>2194</v>
      </c>
      <c r="R165" s="1">
        <v>294400</v>
      </c>
      <c r="S165" s="1">
        <v>14278013</v>
      </c>
      <c r="T165" s="1">
        <v>13425569</v>
      </c>
      <c r="U165" s="1">
        <v>852444</v>
      </c>
      <c r="V165" s="1">
        <v>6683642</v>
      </c>
      <c r="W165" s="1">
        <v>7594371</v>
      </c>
      <c r="X165" s="1">
        <v>10821231</v>
      </c>
      <c r="Y165" s="1">
        <v>1787057</v>
      </c>
      <c r="Z165" s="1">
        <v>1443380</v>
      </c>
      <c r="AA165" s="1">
        <v>1034561</v>
      </c>
      <c r="AB165" s="1">
        <v>1044000</v>
      </c>
      <c r="AC165" s="1">
        <v>1516900</v>
      </c>
      <c r="AD165" s="2">
        <f t="shared" si="12"/>
        <v>0.14017813684968003</v>
      </c>
      <c r="AE165">
        <f t="shared" si="13"/>
        <v>0</v>
      </c>
      <c r="AF165" s="1">
        <v>5747</v>
      </c>
      <c r="AG165" s="1">
        <v>1237221</v>
      </c>
      <c r="AH165" s="1">
        <v>19517291</v>
      </c>
      <c r="AI165" s="1">
        <v>14264598</v>
      </c>
      <c r="AJ165" s="1">
        <v>5252693</v>
      </c>
      <c r="AK165" s="1">
        <v>10087151</v>
      </c>
      <c r="AL165" s="1">
        <v>9430140</v>
      </c>
    </row>
    <row r="166" spans="1:38" x14ac:dyDescent="0.2">
      <c r="A166">
        <v>187</v>
      </c>
      <c r="B166" t="s">
        <v>344</v>
      </c>
      <c r="C166" t="s">
        <v>801</v>
      </c>
      <c r="D166" t="s">
        <v>1081</v>
      </c>
      <c r="E166" t="s">
        <v>1256</v>
      </c>
      <c r="F166" t="s">
        <v>1305</v>
      </c>
      <c r="G166" s="7">
        <v>400</v>
      </c>
      <c r="H166" t="str">
        <f t="shared" si="14"/>
        <v>K</v>
      </c>
      <c r="I166" s="1">
        <v>2343187</v>
      </c>
      <c r="J166" s="1">
        <v>89687</v>
      </c>
      <c r="K166" s="1">
        <v>80474</v>
      </c>
      <c r="L166" s="1">
        <v>57891</v>
      </c>
      <c r="M166" s="1">
        <v>46153</v>
      </c>
      <c r="N166" s="1">
        <v>1927295</v>
      </c>
      <c r="O166" s="2">
        <f t="shared" si="10"/>
        <v>0.82251011122885198</v>
      </c>
      <c r="P166">
        <f t="shared" si="11"/>
        <v>1</v>
      </c>
      <c r="Q166" s="1">
        <v>2953</v>
      </c>
      <c r="R166" s="1">
        <v>297310</v>
      </c>
      <c r="S166" s="1">
        <v>1397779</v>
      </c>
      <c r="T166" s="1">
        <v>645070</v>
      </c>
      <c r="U166" s="1">
        <v>752709</v>
      </c>
      <c r="V166" s="1">
        <v>403425</v>
      </c>
      <c r="W166" s="1">
        <v>994354</v>
      </c>
      <c r="X166" s="1">
        <v>2104751</v>
      </c>
      <c r="Y166" s="1">
        <v>-104370</v>
      </c>
      <c r="Z166" s="1">
        <v>-144483</v>
      </c>
      <c r="AA166" s="1">
        <v>-147144</v>
      </c>
      <c r="AB166" s="1">
        <v>87126</v>
      </c>
      <c r="AC166" s="1">
        <v>1682070</v>
      </c>
      <c r="AD166" s="2">
        <f t="shared" si="12"/>
        <v>0.79917766994765649</v>
      </c>
      <c r="AE166">
        <f t="shared" si="13"/>
        <v>1</v>
      </c>
      <c r="AF166" s="1">
        <v>3095</v>
      </c>
      <c r="AG166" s="1">
        <v>439771</v>
      </c>
      <c r="AH166" s="1">
        <v>1874851</v>
      </c>
      <c r="AI166" s="1">
        <v>988784</v>
      </c>
      <c r="AJ166" s="1">
        <v>886067</v>
      </c>
      <c r="AK166" s="1">
        <v>481154</v>
      </c>
      <c r="AL166" s="1">
        <v>1393697</v>
      </c>
    </row>
    <row r="167" spans="1:38" x14ac:dyDescent="0.2">
      <c r="A167">
        <v>188</v>
      </c>
      <c r="B167" t="s">
        <v>194</v>
      </c>
      <c r="C167" t="s">
        <v>650</v>
      </c>
      <c r="D167" t="s">
        <v>1028</v>
      </c>
      <c r="E167" t="s">
        <v>1199</v>
      </c>
      <c r="F167" t="s">
        <v>1294</v>
      </c>
      <c r="G167" s="7">
        <v>500</v>
      </c>
      <c r="H167" t="str">
        <f t="shared" si="14"/>
        <v>Z</v>
      </c>
      <c r="I167" s="1">
        <v>2332432.0856900001</v>
      </c>
      <c r="J167" s="1">
        <v>-141118.36017999999</v>
      </c>
      <c r="K167" s="1">
        <v>-117026.91735</v>
      </c>
      <c r="L167" s="1">
        <v>-95349.999859999996</v>
      </c>
      <c r="M167" s="1">
        <v>27144.86623</v>
      </c>
      <c r="N167" s="1">
        <v>99974</v>
      </c>
      <c r="O167" s="2">
        <f t="shared" si="10"/>
        <v>4.2862555618816585E-2</v>
      </c>
      <c r="P167">
        <f t="shared" si="11"/>
        <v>0</v>
      </c>
      <c r="Q167" s="1">
        <v>2418</v>
      </c>
      <c r="R167" s="1">
        <v>381524.57595000003</v>
      </c>
      <c r="S167" s="1">
        <v>1711370.06439</v>
      </c>
      <c r="T167" s="1">
        <v>401527.85158999998</v>
      </c>
      <c r="U167" s="1">
        <v>1309842.2128000001</v>
      </c>
      <c r="V167" s="1">
        <v>287272</v>
      </c>
      <c r="W167" s="1">
        <v>1424098.2692400001</v>
      </c>
      <c r="X167" s="1">
        <v>4033548.27415</v>
      </c>
      <c r="Y167" s="1">
        <v>115629.51030999979</v>
      </c>
      <c r="Z167" s="1">
        <v>130478.1894099998</v>
      </c>
      <c r="AA167" s="1">
        <v>101053.3476599998</v>
      </c>
      <c r="AB167" s="1">
        <v>48771.158949999997</v>
      </c>
      <c r="AC167" s="1">
        <v>84789.074670000002</v>
      </c>
      <c r="AD167" s="2">
        <f t="shared" si="12"/>
        <v>2.1020964398366555E-2</v>
      </c>
      <c r="AE167">
        <f t="shared" si="13"/>
        <v>0</v>
      </c>
      <c r="AF167" s="1">
        <v>2286.08</v>
      </c>
      <c r="AG167" s="1">
        <v>454328.39405</v>
      </c>
      <c r="AH167" s="1">
        <v>2247106.2292800001</v>
      </c>
      <c r="AI167" s="1">
        <v>470279.82904999988</v>
      </c>
      <c r="AJ167" s="1">
        <v>1776826.40023</v>
      </c>
      <c r="AK167" s="1">
        <v>550643.17201999994</v>
      </c>
      <c r="AL167" s="1">
        <v>1696463.0572599999</v>
      </c>
    </row>
    <row r="168" spans="1:38" x14ac:dyDescent="0.2">
      <c r="A168">
        <v>189</v>
      </c>
      <c r="B168" t="s">
        <v>199</v>
      </c>
      <c r="C168" t="s">
        <v>655</v>
      </c>
      <c r="D168" t="s">
        <v>1031</v>
      </c>
      <c r="E168" t="s">
        <v>1203</v>
      </c>
      <c r="F168" t="s">
        <v>1311</v>
      </c>
      <c r="G168" s="7">
        <v>100</v>
      </c>
      <c r="H168" t="str">
        <f t="shared" si="14"/>
        <v>K</v>
      </c>
      <c r="I168" s="1">
        <v>1949849</v>
      </c>
      <c r="J168" s="1">
        <v>485703.75601999997</v>
      </c>
      <c r="K168" s="1">
        <v>474097.92184999998</v>
      </c>
      <c r="L168" s="1">
        <v>375458.98982000002</v>
      </c>
      <c r="M168" s="1">
        <v>249085.62364000001</v>
      </c>
      <c r="N168" s="1">
        <v>23651</v>
      </c>
      <c r="O168" s="2">
        <f t="shared" si="10"/>
        <v>1.2129657219610339E-2</v>
      </c>
      <c r="P168">
        <f t="shared" si="11"/>
        <v>0</v>
      </c>
      <c r="Q168" s="1">
        <v>2946</v>
      </c>
      <c r="R168" s="1">
        <v>519675.81942999997</v>
      </c>
      <c r="S168" s="1">
        <v>12380999.758309999</v>
      </c>
      <c r="T168" s="1">
        <v>11395573.787350001</v>
      </c>
      <c r="U168" s="1">
        <v>985425.97095999995</v>
      </c>
      <c r="V168" s="1">
        <v>7461751.0036899997</v>
      </c>
      <c r="W168" s="1">
        <v>4919248.7546199998</v>
      </c>
      <c r="X168" s="1">
        <v>3926798</v>
      </c>
      <c r="Y168" s="1">
        <v>1247092</v>
      </c>
      <c r="Z168" s="1">
        <v>1064665</v>
      </c>
      <c r="AA168" s="1">
        <v>857435</v>
      </c>
      <c r="AB168" s="1">
        <v>868116</v>
      </c>
      <c r="AC168" s="1">
        <v>141866</v>
      </c>
      <c r="AD168" s="2">
        <f t="shared" si="12"/>
        <v>3.61276541344882E-2</v>
      </c>
      <c r="AE168">
        <f t="shared" si="13"/>
        <v>0</v>
      </c>
      <c r="AF168" s="1">
        <v>3312</v>
      </c>
      <c r="AG168" s="1">
        <v>793779</v>
      </c>
      <c r="AH168" s="1">
        <v>32195163</v>
      </c>
      <c r="AI168" s="1">
        <v>29212962</v>
      </c>
      <c r="AJ168" s="1">
        <v>2982201</v>
      </c>
      <c r="AK168" s="1">
        <v>15202425</v>
      </c>
      <c r="AL168" s="1">
        <v>16992739</v>
      </c>
    </row>
    <row r="169" spans="1:38" x14ac:dyDescent="0.2">
      <c r="A169">
        <v>190</v>
      </c>
      <c r="B169" t="s">
        <v>203</v>
      </c>
      <c r="C169" t="s">
        <v>659</v>
      </c>
      <c r="D169" t="s">
        <v>974</v>
      </c>
      <c r="E169" t="s">
        <v>1131</v>
      </c>
      <c r="F169" t="s">
        <v>1305</v>
      </c>
      <c r="G169" s="7">
        <v>500</v>
      </c>
      <c r="H169" t="str">
        <f t="shared" si="14"/>
        <v>Z</v>
      </c>
      <c r="I169" s="1">
        <v>2315941</v>
      </c>
      <c r="J169" s="1">
        <v>46617</v>
      </c>
      <c r="K169" s="1">
        <v>32822</v>
      </c>
      <c r="L169" s="1">
        <v>27619</v>
      </c>
      <c r="M169" s="1">
        <v>36</v>
      </c>
      <c r="N169" s="1">
        <v>2871</v>
      </c>
      <c r="O169" s="2">
        <f t="shared" si="10"/>
        <v>1.2396688862108317E-3</v>
      </c>
      <c r="P169">
        <f t="shared" si="11"/>
        <v>0</v>
      </c>
      <c r="Q169" s="1">
        <v>76</v>
      </c>
      <c r="R169" s="1">
        <v>17336.193780000001</v>
      </c>
      <c r="S169" s="1">
        <v>534761</v>
      </c>
      <c r="T169" s="1">
        <v>25</v>
      </c>
      <c r="U169" s="1">
        <v>534736</v>
      </c>
      <c r="V169" s="1">
        <v>68284</v>
      </c>
      <c r="W169" s="1">
        <v>466476.79960000003</v>
      </c>
      <c r="X169" s="1">
        <v>3861713.1685500001</v>
      </c>
      <c r="Y169" s="1">
        <v>130574.80858</v>
      </c>
      <c r="Z169" s="1">
        <v>125484.36522000001</v>
      </c>
      <c r="AA169" s="1">
        <v>102866.9694</v>
      </c>
      <c r="AB169" s="1">
        <v>1243.44382</v>
      </c>
      <c r="AC169" s="1">
        <v>5788</v>
      </c>
      <c r="AD169" s="2">
        <f t="shared" si="12"/>
        <v>1.4988166514120684E-3</v>
      </c>
      <c r="AE169">
        <f t="shared" si="13"/>
        <v>0</v>
      </c>
      <c r="AF169" s="1">
        <v>172</v>
      </c>
      <c r="AG169" s="1">
        <v>50913.767890000003</v>
      </c>
      <c r="AH169" s="1">
        <v>1072362.14405</v>
      </c>
      <c r="AI169" s="1">
        <v>187437.29556999999</v>
      </c>
      <c r="AJ169" s="1">
        <v>884924.84848000004</v>
      </c>
      <c r="AK169" s="1">
        <v>185373.53107999999</v>
      </c>
      <c r="AL169" s="1">
        <v>886988.61297000002</v>
      </c>
    </row>
    <row r="170" spans="1:38" x14ac:dyDescent="0.2">
      <c r="A170">
        <v>191</v>
      </c>
      <c r="B170" t="s">
        <v>249</v>
      </c>
      <c r="C170" t="s">
        <v>705</v>
      </c>
      <c r="D170" t="s">
        <v>1041</v>
      </c>
      <c r="E170" t="s">
        <v>1214</v>
      </c>
      <c r="F170" t="s">
        <v>1294</v>
      </c>
      <c r="G170" s="7">
        <v>450</v>
      </c>
      <c r="H170" t="str">
        <f t="shared" si="14"/>
        <v>K</v>
      </c>
      <c r="I170" s="1">
        <v>2313363</v>
      </c>
      <c r="J170" s="1">
        <v>58400</v>
      </c>
      <c r="K170" s="1">
        <v>48886</v>
      </c>
      <c r="L170" s="1">
        <v>35044</v>
      </c>
      <c r="M170" s="1">
        <v>21295</v>
      </c>
      <c r="N170" s="1">
        <v>137.1</v>
      </c>
      <c r="O170" s="2">
        <f t="shared" si="10"/>
        <v>5.9264369664423611E-5</v>
      </c>
      <c r="P170">
        <f t="shared" si="11"/>
        <v>0</v>
      </c>
      <c r="Q170" s="1">
        <v>2475</v>
      </c>
      <c r="R170" s="1">
        <v>306863</v>
      </c>
      <c r="S170" s="1">
        <v>1173495</v>
      </c>
      <c r="T170" s="1">
        <v>189734</v>
      </c>
      <c r="U170" s="1">
        <v>983761</v>
      </c>
      <c r="V170" s="1">
        <v>274816</v>
      </c>
      <c r="W170" s="1">
        <v>925679</v>
      </c>
      <c r="X170" s="1">
        <v>2979789</v>
      </c>
      <c r="Y170" s="1">
        <v>20653</v>
      </c>
      <c r="Z170" s="1">
        <v>56</v>
      </c>
      <c r="AA170" s="1">
        <v>-17165</v>
      </c>
      <c r="AB170" s="1">
        <v>43106</v>
      </c>
      <c r="AC170" s="1">
        <v>333414</v>
      </c>
      <c r="AD170" s="2">
        <f t="shared" si="12"/>
        <v>0.11189181515872433</v>
      </c>
      <c r="AE170">
        <f t="shared" si="13"/>
        <v>0</v>
      </c>
      <c r="AF170" s="1">
        <v>2809</v>
      </c>
      <c r="AG170" s="1">
        <v>527158</v>
      </c>
      <c r="AH170" s="1">
        <v>2027937</v>
      </c>
      <c r="AI170" s="1">
        <v>604304</v>
      </c>
      <c r="AJ170" s="1">
        <v>1423633</v>
      </c>
      <c r="AK170" s="1">
        <v>629010</v>
      </c>
      <c r="AL170" s="1">
        <v>1398927</v>
      </c>
    </row>
    <row r="171" spans="1:38" x14ac:dyDescent="0.2">
      <c r="A171">
        <v>192</v>
      </c>
      <c r="B171" t="s">
        <v>487</v>
      </c>
      <c r="C171" t="s">
        <v>943</v>
      </c>
      <c r="D171" t="s">
        <v>971</v>
      </c>
      <c r="E171" t="s">
        <v>1162</v>
      </c>
      <c r="F171" t="s">
        <v>1305</v>
      </c>
      <c r="G171" s="7">
        <v>500</v>
      </c>
      <c r="H171" t="str">
        <f t="shared" si="14"/>
        <v>Z</v>
      </c>
      <c r="I171" s="1">
        <v>2310823.3086999999</v>
      </c>
      <c r="J171" s="1">
        <v>42866</v>
      </c>
      <c r="K171" s="1">
        <v>56945.074689999987</v>
      </c>
      <c r="L171" s="1">
        <v>42704.871880000013</v>
      </c>
      <c r="M171" s="1">
        <v>248861.12359999999</v>
      </c>
      <c r="N171" s="1">
        <v>1350538</v>
      </c>
      <c r="O171" s="2">
        <f t="shared" si="10"/>
        <v>0.58444018411765641</v>
      </c>
      <c r="P171">
        <f t="shared" si="11"/>
        <v>1</v>
      </c>
      <c r="Q171" s="1">
        <v>1113</v>
      </c>
      <c r="R171" s="1">
        <v>102985.74253</v>
      </c>
      <c r="S171" s="1">
        <v>3169792.0670400001</v>
      </c>
      <c r="T171" s="1">
        <v>1589471.0250500001</v>
      </c>
      <c r="U171" s="1">
        <v>1580321.0419900001</v>
      </c>
      <c r="V171" s="1">
        <v>2462913.3921099999</v>
      </c>
      <c r="W171" s="1">
        <v>706878.67492999998</v>
      </c>
      <c r="X171" s="1">
        <v>562619</v>
      </c>
      <c r="Y171" s="1">
        <v>305198.64389000001</v>
      </c>
      <c r="Z171" s="1">
        <v>311774.91872999998</v>
      </c>
      <c r="AA171" s="1">
        <v>297170.24472999998</v>
      </c>
      <c r="AB171" s="1">
        <v>141018.43971000001</v>
      </c>
      <c r="AC171" s="1">
        <v>302933</v>
      </c>
      <c r="AD171" s="2">
        <f t="shared" si="12"/>
        <v>0.53843364692625029</v>
      </c>
      <c r="AE171">
        <f t="shared" si="13"/>
        <v>1</v>
      </c>
      <c r="AF171" s="1">
        <v>7</v>
      </c>
      <c r="AG171" s="1">
        <v>29998.78644</v>
      </c>
      <c r="AH171" s="1">
        <v>1062469</v>
      </c>
      <c r="AI171" s="1">
        <v>0</v>
      </c>
      <c r="AJ171" s="1">
        <v>1062469</v>
      </c>
      <c r="AK171" s="1">
        <v>1046340.6144899999</v>
      </c>
      <c r="AL171" s="1">
        <v>16128.470590000001</v>
      </c>
    </row>
    <row r="172" spans="1:38" x14ac:dyDescent="0.2">
      <c r="A172">
        <v>193</v>
      </c>
      <c r="B172" t="s">
        <v>379</v>
      </c>
      <c r="C172" t="s">
        <v>836</v>
      </c>
      <c r="D172" t="s">
        <v>1036</v>
      </c>
      <c r="E172" t="s">
        <v>1210</v>
      </c>
      <c r="F172" t="s">
        <v>1305</v>
      </c>
      <c r="G172" s="7">
        <v>400</v>
      </c>
      <c r="H172" t="str">
        <f t="shared" si="14"/>
        <v>K</v>
      </c>
      <c r="I172" s="1">
        <v>2086960</v>
      </c>
      <c r="J172" s="1">
        <v>-76856</v>
      </c>
      <c r="K172" s="1">
        <v>-71621</v>
      </c>
      <c r="L172" s="1">
        <v>-80529</v>
      </c>
      <c r="M172" s="1">
        <v>68758</v>
      </c>
      <c r="N172" s="1">
        <v>1857810</v>
      </c>
      <c r="O172" s="2">
        <f t="shared" si="10"/>
        <v>0.89019914133476441</v>
      </c>
      <c r="P172">
        <f t="shared" si="11"/>
        <v>1</v>
      </c>
      <c r="Q172" s="1">
        <v>1738</v>
      </c>
      <c r="R172" s="1">
        <v>154766</v>
      </c>
      <c r="S172" s="1">
        <v>817485</v>
      </c>
      <c r="T172" s="1">
        <v>461130</v>
      </c>
      <c r="U172" s="1">
        <v>356355</v>
      </c>
      <c r="V172" s="1">
        <v>-999355</v>
      </c>
      <c r="W172" s="1">
        <v>1816840</v>
      </c>
      <c r="X172" s="1">
        <v>1728466</v>
      </c>
      <c r="Y172" s="1">
        <v>4970</v>
      </c>
      <c r="Z172" s="1">
        <v>25146</v>
      </c>
      <c r="AA172" s="1">
        <v>29421</v>
      </c>
      <c r="AB172" s="1">
        <v>74627</v>
      </c>
      <c r="AC172" s="1">
        <v>1637255</v>
      </c>
      <c r="AD172" s="2">
        <f t="shared" si="12"/>
        <v>0.94723008725656155</v>
      </c>
      <c r="AE172">
        <f t="shared" si="13"/>
        <v>1</v>
      </c>
      <c r="AF172" s="1">
        <v>1270</v>
      </c>
      <c r="AG172" s="1">
        <v>223433</v>
      </c>
      <c r="AH172" s="1">
        <v>949263</v>
      </c>
      <c r="AI172" s="1">
        <v>354360</v>
      </c>
      <c r="AJ172" s="1">
        <v>594903</v>
      </c>
      <c r="AK172" s="1">
        <v>497690</v>
      </c>
      <c r="AL172" s="1">
        <v>451573</v>
      </c>
    </row>
    <row r="173" spans="1:38" x14ac:dyDescent="0.2">
      <c r="A173">
        <v>194</v>
      </c>
      <c r="B173" t="s">
        <v>283</v>
      </c>
      <c r="C173" t="s">
        <v>739</v>
      </c>
      <c r="D173" t="s">
        <v>1043</v>
      </c>
      <c r="E173" t="s">
        <v>1217</v>
      </c>
      <c r="F173" t="s">
        <v>1309</v>
      </c>
      <c r="G173" s="7">
        <v>500</v>
      </c>
      <c r="H173" t="str">
        <f t="shared" si="14"/>
        <v>Z</v>
      </c>
      <c r="I173" s="1">
        <v>2267960</v>
      </c>
      <c r="J173" s="1">
        <v>105721</v>
      </c>
      <c r="K173" s="1">
        <v>108920</v>
      </c>
      <c r="L173" s="1">
        <v>87733</v>
      </c>
      <c r="M173" s="1">
        <v>168495</v>
      </c>
      <c r="N173" s="1">
        <v>44767</v>
      </c>
      <c r="O173" s="2">
        <f t="shared" si="10"/>
        <v>1.9738884283673434E-2</v>
      </c>
      <c r="P173">
        <f t="shared" si="11"/>
        <v>0</v>
      </c>
      <c r="Q173" s="1">
        <v>1333</v>
      </c>
      <c r="R173" s="1">
        <v>155026</v>
      </c>
      <c r="S173" s="1">
        <v>2376530</v>
      </c>
      <c r="T173" s="1">
        <v>1313270</v>
      </c>
      <c r="U173" s="1">
        <v>1063260</v>
      </c>
      <c r="V173" s="1">
        <v>1681941</v>
      </c>
      <c r="W173" s="1">
        <v>694589</v>
      </c>
      <c r="X173" s="1">
        <v>2563309</v>
      </c>
      <c r="Y173" s="1">
        <v>278637</v>
      </c>
      <c r="Z173" s="1">
        <v>288616</v>
      </c>
      <c r="AA173" s="1">
        <v>236148</v>
      </c>
      <c r="AB173" s="1">
        <v>210706</v>
      </c>
      <c r="AC173" s="1">
        <v>58443</v>
      </c>
      <c r="AD173" s="2">
        <f t="shared" si="12"/>
        <v>2.2799826318247233E-2</v>
      </c>
      <c r="AE173">
        <f t="shared" si="13"/>
        <v>0</v>
      </c>
      <c r="AF173" s="1">
        <v>750</v>
      </c>
      <c r="AG173" s="1">
        <v>176247</v>
      </c>
      <c r="AH173" s="1">
        <v>2670422</v>
      </c>
      <c r="AI173" s="1">
        <v>1431968</v>
      </c>
      <c r="AJ173" s="1">
        <v>1238454</v>
      </c>
      <c r="AK173" s="1">
        <v>1805178</v>
      </c>
      <c r="AL173" s="1">
        <v>865244</v>
      </c>
    </row>
    <row r="174" spans="1:38" x14ac:dyDescent="0.2">
      <c r="A174">
        <v>196</v>
      </c>
      <c r="B174" t="s">
        <v>146</v>
      </c>
      <c r="C174" t="s">
        <v>602</v>
      </c>
      <c r="D174" t="s">
        <v>1011</v>
      </c>
      <c r="E174" t="s">
        <v>1174</v>
      </c>
      <c r="F174" t="s">
        <v>1309</v>
      </c>
      <c r="G174" s="7">
        <v>500</v>
      </c>
      <c r="H174" t="str">
        <f t="shared" si="14"/>
        <v>Z</v>
      </c>
      <c r="I174" s="1">
        <v>4508767</v>
      </c>
      <c r="J174" s="1">
        <v>55382</v>
      </c>
      <c r="K174" s="1">
        <v>19226</v>
      </c>
      <c r="L174" s="1">
        <v>8410</v>
      </c>
      <c r="M174" s="1">
        <v>6613</v>
      </c>
      <c r="N174" s="1">
        <v>282832</v>
      </c>
      <c r="O174" s="2">
        <f t="shared" si="10"/>
        <v>6.2729344851929589E-2</v>
      </c>
      <c r="P174">
        <f t="shared" si="11"/>
        <v>0</v>
      </c>
      <c r="Q174" s="1">
        <v>755</v>
      </c>
      <c r="R174" s="1">
        <v>58521</v>
      </c>
      <c r="S174" s="1">
        <v>1617763</v>
      </c>
      <c r="T174" s="1">
        <v>114638</v>
      </c>
      <c r="U174" s="1">
        <v>1503125</v>
      </c>
      <c r="V174" s="1">
        <v>36120</v>
      </c>
      <c r="W174" s="1">
        <v>1510281</v>
      </c>
      <c r="X174" s="1">
        <v>5921725.5999999996</v>
      </c>
      <c r="Y174" s="1">
        <v>49128</v>
      </c>
      <c r="Z174" s="1">
        <v>-3264.3</v>
      </c>
      <c r="AA174" s="1">
        <v>-34453.800000000003</v>
      </c>
      <c r="AB174" s="1">
        <v>5133</v>
      </c>
      <c r="AC174" s="1">
        <v>174644</v>
      </c>
      <c r="AD174" s="2">
        <f t="shared" si="12"/>
        <v>2.9492079133149975E-2</v>
      </c>
      <c r="AE174">
        <f t="shared" si="13"/>
        <v>0</v>
      </c>
      <c r="AF174" s="1">
        <v>415</v>
      </c>
      <c r="AG174" s="1">
        <v>74660</v>
      </c>
      <c r="AH174" s="1">
        <v>1748693</v>
      </c>
      <c r="AI174" s="1">
        <v>140432</v>
      </c>
      <c r="AJ174" s="1">
        <v>1608261</v>
      </c>
      <c r="AK174" s="1">
        <v>259699</v>
      </c>
      <c r="AL174" s="1">
        <v>1484250</v>
      </c>
    </row>
    <row r="175" spans="1:38" x14ac:dyDescent="0.2">
      <c r="A175">
        <v>197</v>
      </c>
      <c r="B175" t="s">
        <v>253</v>
      </c>
      <c r="C175" t="s">
        <v>709</v>
      </c>
      <c r="D175" t="s">
        <v>1054</v>
      </c>
      <c r="E175" t="s">
        <v>1227</v>
      </c>
      <c r="F175" t="s">
        <v>1308</v>
      </c>
      <c r="G175" s="7">
        <v>500</v>
      </c>
      <c r="H175" t="str">
        <f t="shared" si="14"/>
        <v>Z</v>
      </c>
      <c r="I175" s="1">
        <v>2269172</v>
      </c>
      <c r="J175" s="1">
        <v>255950</v>
      </c>
      <c r="K175" s="1">
        <v>262682</v>
      </c>
      <c r="L175" s="1">
        <v>219805</v>
      </c>
      <c r="M175" s="1">
        <v>15674</v>
      </c>
      <c r="N175" s="1">
        <v>0</v>
      </c>
      <c r="O175" s="2">
        <f t="shared" si="10"/>
        <v>0</v>
      </c>
      <c r="P175">
        <f t="shared" si="11"/>
        <v>0</v>
      </c>
      <c r="Q175" s="1">
        <v>742</v>
      </c>
      <c r="R175" s="1">
        <v>57966</v>
      </c>
      <c r="S175" s="1">
        <v>1579592</v>
      </c>
      <c r="T175" s="1">
        <v>843966</v>
      </c>
      <c r="U175" s="1">
        <v>735626</v>
      </c>
      <c r="V175" s="1">
        <v>1186465</v>
      </c>
      <c r="W175" s="1">
        <v>393127</v>
      </c>
      <c r="X175" s="1">
        <v>2954112</v>
      </c>
      <c r="Y175" s="1">
        <v>304978</v>
      </c>
      <c r="Z175" s="1">
        <v>343475</v>
      </c>
      <c r="AA175" s="1">
        <v>294682</v>
      </c>
      <c r="AB175" s="1">
        <v>28983</v>
      </c>
      <c r="AC175" s="1">
        <v>19872</v>
      </c>
      <c r="AD175" s="2">
        <f t="shared" si="12"/>
        <v>6.7268945794878464E-3</v>
      </c>
      <c r="AE175">
        <f t="shared" si="13"/>
        <v>0</v>
      </c>
      <c r="AF175" s="1">
        <v>815</v>
      </c>
      <c r="AG175" s="1">
        <v>107824</v>
      </c>
      <c r="AH175" s="1">
        <v>2004617</v>
      </c>
      <c r="AI175" s="1">
        <v>959315</v>
      </c>
      <c r="AJ175" s="1">
        <v>1045302</v>
      </c>
      <c r="AK175" s="1">
        <v>1741733</v>
      </c>
      <c r="AL175" s="1">
        <v>262884</v>
      </c>
    </row>
    <row r="176" spans="1:38" x14ac:dyDescent="0.2">
      <c r="A176">
        <v>198</v>
      </c>
      <c r="B176" t="s">
        <v>309</v>
      </c>
      <c r="C176" t="s">
        <v>765</v>
      </c>
      <c r="D176" t="s">
        <v>1029</v>
      </c>
      <c r="E176" t="s">
        <v>1201</v>
      </c>
      <c r="F176" t="s">
        <v>1307</v>
      </c>
      <c r="G176" s="7">
        <v>500</v>
      </c>
      <c r="H176" t="str">
        <f t="shared" si="14"/>
        <v>Z</v>
      </c>
      <c r="I176" s="1">
        <v>2256749.6432500002</v>
      </c>
      <c r="J176" s="1">
        <v>87237.644079999998</v>
      </c>
      <c r="K176" s="1">
        <v>-78209.401889999994</v>
      </c>
      <c r="L176" s="1">
        <v>-94379.234580000004</v>
      </c>
      <c r="M176" s="1">
        <v>19644.84074</v>
      </c>
      <c r="N176" s="1">
        <v>565305.53338000004</v>
      </c>
      <c r="O176" s="2">
        <f t="shared" si="10"/>
        <v>0.25049545707067877</v>
      </c>
      <c r="P176">
        <f t="shared" si="11"/>
        <v>0</v>
      </c>
      <c r="Q176" s="1">
        <v>1226</v>
      </c>
      <c r="R176" s="1">
        <v>250435</v>
      </c>
      <c r="S176" s="1">
        <v>768536</v>
      </c>
      <c r="T176" s="1">
        <v>183450</v>
      </c>
      <c r="U176" s="1">
        <v>585086</v>
      </c>
      <c r="V176" s="1">
        <v>297246</v>
      </c>
      <c r="W176" s="1">
        <v>471290</v>
      </c>
      <c r="X176" s="1">
        <v>2375423.6821599999</v>
      </c>
      <c r="Y176" s="1">
        <v>91597.447660000005</v>
      </c>
      <c r="Z176" s="1">
        <v>90917.616569999998</v>
      </c>
      <c r="AA176" s="1">
        <v>67489.28115000001</v>
      </c>
      <c r="AB176" s="1">
        <v>8546</v>
      </c>
      <c r="AC176" s="1">
        <v>450936</v>
      </c>
      <c r="AD176" s="2">
        <f t="shared" si="12"/>
        <v>0.18983392452750103</v>
      </c>
      <c r="AE176">
        <f t="shared" si="13"/>
        <v>0</v>
      </c>
      <c r="AF176" s="1">
        <v>1553</v>
      </c>
      <c r="AG176" s="1">
        <v>438463</v>
      </c>
      <c r="AH176" s="1">
        <v>838576.34756999998</v>
      </c>
      <c r="AI176" s="1">
        <v>167475.53297</v>
      </c>
      <c r="AJ176" s="1">
        <v>671100.81460000004</v>
      </c>
      <c r="AK176" s="1">
        <v>578513.31674000004</v>
      </c>
      <c r="AL176" s="1">
        <v>260063.03083</v>
      </c>
    </row>
    <row r="177" spans="1:38" x14ac:dyDescent="0.2">
      <c r="A177">
        <v>199</v>
      </c>
      <c r="B177" t="s">
        <v>210</v>
      </c>
      <c r="C177" t="s">
        <v>666</v>
      </c>
      <c r="D177" t="s">
        <v>965</v>
      </c>
      <c r="E177" t="s">
        <v>1122</v>
      </c>
      <c r="F177" t="s">
        <v>1220</v>
      </c>
      <c r="G177" s="7">
        <v>400</v>
      </c>
      <c r="H177" t="str">
        <f t="shared" si="14"/>
        <v>K</v>
      </c>
      <c r="I177" s="1">
        <v>2244893</v>
      </c>
      <c r="J177" s="1">
        <v>73937</v>
      </c>
      <c r="K177" s="1">
        <v>51797</v>
      </c>
      <c r="L177" s="1">
        <v>40844</v>
      </c>
      <c r="M177" s="1">
        <v>18247</v>
      </c>
      <c r="N177" s="1">
        <v>1775079</v>
      </c>
      <c r="O177" s="2">
        <f t="shared" si="10"/>
        <v>0.79071875586052431</v>
      </c>
      <c r="P177">
        <f t="shared" si="11"/>
        <v>1</v>
      </c>
      <c r="Q177" s="1">
        <v>776</v>
      </c>
      <c r="R177" s="1">
        <v>62832</v>
      </c>
      <c r="S177" s="1">
        <v>1071534</v>
      </c>
      <c r="T177" s="1">
        <v>533766</v>
      </c>
      <c r="U177" s="1">
        <v>537768</v>
      </c>
      <c r="V177" s="1">
        <v>533777</v>
      </c>
      <c r="W177" s="1">
        <v>537757</v>
      </c>
      <c r="X177" s="1">
        <v>3642379.79</v>
      </c>
      <c r="Y177" s="1">
        <v>204115.48</v>
      </c>
      <c r="Z177" s="1">
        <v>103950.26</v>
      </c>
      <c r="AA177" s="1">
        <v>64465.79</v>
      </c>
      <c r="AB177" s="1">
        <v>126053.18799999999</v>
      </c>
      <c r="AC177" s="1">
        <v>3008282.43</v>
      </c>
      <c r="AD177" s="2">
        <f t="shared" si="12"/>
        <v>0.82591124579021458</v>
      </c>
      <c r="AE177">
        <f t="shared" si="13"/>
        <v>1</v>
      </c>
      <c r="AF177" s="1">
        <v>1168</v>
      </c>
      <c r="AG177" s="1">
        <v>191013</v>
      </c>
      <c r="AH177" s="1">
        <v>2977956.63</v>
      </c>
      <c r="AI177" s="1">
        <v>1419795.94</v>
      </c>
      <c r="AJ177" s="1">
        <v>1558160.69</v>
      </c>
      <c r="AK177" s="1">
        <v>769876.87</v>
      </c>
      <c r="AL177" s="1">
        <v>2208079.7599999998</v>
      </c>
    </row>
    <row r="178" spans="1:38" x14ac:dyDescent="0.2">
      <c r="A178">
        <v>200</v>
      </c>
      <c r="B178" t="s">
        <v>329</v>
      </c>
      <c r="C178" t="s">
        <v>786</v>
      </c>
      <c r="D178" t="s">
        <v>993</v>
      </c>
      <c r="E178" t="s">
        <v>1153</v>
      </c>
      <c r="F178" t="s">
        <v>1306</v>
      </c>
      <c r="G178" s="7">
        <v>500</v>
      </c>
      <c r="H178" t="str">
        <f t="shared" si="14"/>
        <v>Z</v>
      </c>
      <c r="I178" s="1">
        <v>2239125</v>
      </c>
      <c r="J178" s="1">
        <v>108153</v>
      </c>
      <c r="K178" s="1">
        <v>87754</v>
      </c>
      <c r="L178" s="1">
        <v>104354</v>
      </c>
      <c r="M178" s="1">
        <v>32210</v>
      </c>
      <c r="N178" s="1">
        <v>2160642</v>
      </c>
      <c r="O178" s="2">
        <f t="shared" si="10"/>
        <v>0.96494925473120086</v>
      </c>
      <c r="P178">
        <f t="shared" si="11"/>
        <v>1</v>
      </c>
      <c r="Q178" s="1">
        <v>2826</v>
      </c>
      <c r="R178" s="1">
        <v>204478</v>
      </c>
      <c r="S178" s="1">
        <v>968831</v>
      </c>
      <c r="T178" s="1">
        <v>302617</v>
      </c>
      <c r="U178" s="1">
        <v>666214</v>
      </c>
      <c r="V178" s="1">
        <v>452662</v>
      </c>
      <c r="W178" s="1">
        <v>516168</v>
      </c>
      <c r="X178" s="1">
        <v>2220392</v>
      </c>
      <c r="Y178" s="1">
        <v>134818</v>
      </c>
      <c r="Z178" s="1">
        <v>129199</v>
      </c>
      <c r="AA178" s="1">
        <v>104559</v>
      </c>
      <c r="AB178" s="1">
        <v>31695</v>
      </c>
      <c r="AC178" s="1">
        <v>2078790</v>
      </c>
      <c r="AD178" s="2">
        <f t="shared" si="12"/>
        <v>0.93622657620816507</v>
      </c>
      <c r="AE178">
        <f t="shared" si="13"/>
        <v>1</v>
      </c>
      <c r="AF178" s="1">
        <v>2330</v>
      </c>
      <c r="AG178" s="1">
        <v>269825</v>
      </c>
      <c r="AH178" s="1">
        <v>1569632</v>
      </c>
      <c r="AI178" s="1">
        <v>262555</v>
      </c>
      <c r="AJ178" s="1">
        <v>1307077</v>
      </c>
      <c r="AK178" s="1">
        <v>957168</v>
      </c>
      <c r="AL178" s="1">
        <v>612464</v>
      </c>
    </row>
    <row r="179" spans="1:38" x14ac:dyDescent="0.2">
      <c r="A179">
        <v>201</v>
      </c>
      <c r="B179" t="s">
        <v>186</v>
      </c>
      <c r="C179" t="s">
        <v>642</v>
      </c>
      <c r="D179" t="s">
        <v>1027</v>
      </c>
      <c r="E179" t="s">
        <v>1197</v>
      </c>
      <c r="F179" t="s">
        <v>1311</v>
      </c>
      <c r="G179" s="7">
        <v>500</v>
      </c>
      <c r="H179" t="str">
        <f t="shared" si="14"/>
        <v>Z</v>
      </c>
      <c r="I179" s="1">
        <v>2234414</v>
      </c>
      <c r="J179" s="1">
        <v>103020</v>
      </c>
      <c r="K179" s="1">
        <v>83287</v>
      </c>
      <c r="L179" s="1">
        <v>60875</v>
      </c>
      <c r="M179" s="1">
        <v>305507</v>
      </c>
      <c r="N179" s="1">
        <v>0</v>
      </c>
      <c r="O179" s="2">
        <f t="shared" si="10"/>
        <v>0</v>
      </c>
      <c r="P179">
        <f t="shared" si="11"/>
        <v>0</v>
      </c>
      <c r="Q179" s="1">
        <v>14563</v>
      </c>
      <c r="R179" s="1">
        <v>923880</v>
      </c>
      <c r="S179" s="1">
        <v>3875792</v>
      </c>
      <c r="T179" s="1">
        <v>2936808</v>
      </c>
      <c r="U179" s="1">
        <v>938984</v>
      </c>
      <c r="V179" s="1">
        <v>2312656</v>
      </c>
      <c r="W179" s="1">
        <v>1563136</v>
      </c>
      <c r="X179" s="1">
        <v>4182456</v>
      </c>
      <c r="Y179" s="1">
        <v>179634</v>
      </c>
      <c r="Z179" s="1">
        <v>235192</v>
      </c>
      <c r="AA179" s="1">
        <v>177943</v>
      </c>
      <c r="AB179" s="1">
        <v>556906</v>
      </c>
      <c r="AC179" s="1">
        <v>0</v>
      </c>
      <c r="AD179" s="2">
        <f t="shared" si="12"/>
        <v>0</v>
      </c>
      <c r="AE179">
        <f t="shared" si="13"/>
        <v>0</v>
      </c>
      <c r="AF179" s="1">
        <v>17384</v>
      </c>
      <c r="AG179" s="1">
        <v>1689016</v>
      </c>
      <c r="AH179" s="1">
        <v>5319441</v>
      </c>
      <c r="AI179" s="1">
        <v>2973186</v>
      </c>
      <c r="AJ179" s="1">
        <v>2346255</v>
      </c>
      <c r="AK179" s="1">
        <v>3442294</v>
      </c>
      <c r="AL179" s="1">
        <v>1877147</v>
      </c>
    </row>
    <row r="180" spans="1:38" x14ac:dyDescent="0.2">
      <c r="A180">
        <v>202</v>
      </c>
      <c r="B180" t="s">
        <v>272</v>
      </c>
      <c r="C180" t="s">
        <v>728</v>
      </c>
      <c r="D180" t="s">
        <v>1048</v>
      </c>
      <c r="E180" t="s">
        <v>1221</v>
      </c>
      <c r="F180" t="s">
        <v>1310</v>
      </c>
      <c r="G180" s="7">
        <v>400</v>
      </c>
      <c r="H180" t="str">
        <f t="shared" si="14"/>
        <v>K</v>
      </c>
      <c r="I180" s="1">
        <v>2234353</v>
      </c>
      <c r="J180" s="1">
        <v>325307</v>
      </c>
      <c r="K180" s="1">
        <v>324710</v>
      </c>
      <c r="L180" s="1">
        <v>257233</v>
      </c>
      <c r="M180" s="1">
        <v>144582</v>
      </c>
      <c r="N180" s="1">
        <v>0</v>
      </c>
      <c r="O180" s="2">
        <f t="shared" si="10"/>
        <v>0</v>
      </c>
      <c r="P180">
        <f t="shared" si="11"/>
        <v>0</v>
      </c>
      <c r="Q180" s="1">
        <v>1329</v>
      </c>
      <c r="R180" s="1">
        <v>162298</v>
      </c>
      <c r="S180" s="1">
        <v>2198586</v>
      </c>
      <c r="T180" s="1">
        <v>1397812</v>
      </c>
      <c r="U180" s="1">
        <v>800774</v>
      </c>
      <c r="V180" s="1">
        <v>1317753</v>
      </c>
      <c r="W180" s="1">
        <v>880833</v>
      </c>
      <c r="X180" s="1">
        <v>2706674</v>
      </c>
      <c r="Y180" s="1">
        <v>-1311670</v>
      </c>
      <c r="Z180" s="1">
        <v>-1360539</v>
      </c>
      <c r="AA180" s="1">
        <v>-1128664</v>
      </c>
      <c r="AB180" s="1">
        <v>141323</v>
      </c>
      <c r="AC180" s="1">
        <v>0</v>
      </c>
      <c r="AD180" s="2">
        <f t="shared" si="12"/>
        <v>0</v>
      </c>
      <c r="AE180">
        <f t="shared" si="13"/>
        <v>0</v>
      </c>
      <c r="AF180" s="1">
        <v>1686</v>
      </c>
      <c r="AG180" s="1">
        <v>263435</v>
      </c>
      <c r="AH180" s="1">
        <v>4174297</v>
      </c>
      <c r="AI180" s="1">
        <v>3153234</v>
      </c>
      <c r="AJ180" s="1">
        <v>1021063</v>
      </c>
      <c r="AK180" s="1">
        <v>1494454</v>
      </c>
      <c r="AL180" s="1">
        <v>2679843</v>
      </c>
    </row>
    <row r="181" spans="1:38" x14ac:dyDescent="0.2">
      <c r="A181">
        <v>203</v>
      </c>
      <c r="B181" t="s">
        <v>177</v>
      </c>
      <c r="C181" t="s">
        <v>633</v>
      </c>
      <c r="D181" t="s">
        <v>1009</v>
      </c>
      <c r="E181" t="s">
        <v>1171</v>
      </c>
      <c r="F181" t="s">
        <v>1311</v>
      </c>
      <c r="G181" s="7">
        <v>500</v>
      </c>
      <c r="H181" t="str">
        <f t="shared" si="14"/>
        <v>Z</v>
      </c>
      <c r="I181" s="1">
        <v>2225860</v>
      </c>
      <c r="J181" s="1">
        <v>262953</v>
      </c>
      <c r="K181" s="1">
        <v>231719</v>
      </c>
      <c r="L181" s="1">
        <v>184252</v>
      </c>
      <c r="M181" s="1">
        <v>103421.458</v>
      </c>
      <c r="N181" s="1">
        <v>438340.28399999999</v>
      </c>
      <c r="O181" s="2">
        <f t="shared" si="10"/>
        <v>0.19693075215871617</v>
      </c>
      <c r="P181">
        <f t="shared" si="11"/>
        <v>0</v>
      </c>
      <c r="Q181" s="1">
        <v>3645</v>
      </c>
      <c r="R181" s="1">
        <v>293897</v>
      </c>
      <c r="S181" s="1">
        <v>1512198.328</v>
      </c>
      <c r="T181" s="1">
        <v>1097526.8640000001</v>
      </c>
      <c r="U181" s="1">
        <v>414671.46399999998</v>
      </c>
      <c r="V181" s="1">
        <v>362234.603</v>
      </c>
      <c r="W181" s="1">
        <v>1149964</v>
      </c>
      <c r="X181" s="1">
        <v>4373383</v>
      </c>
      <c r="Y181" s="1">
        <v>174230</v>
      </c>
      <c r="Z181" s="1">
        <v>130693</v>
      </c>
      <c r="AA181" s="1">
        <v>102529</v>
      </c>
      <c r="AB181" s="1">
        <v>276668</v>
      </c>
      <c r="AC181" s="1">
        <v>1018937</v>
      </c>
      <c r="AD181" s="2">
        <f t="shared" si="12"/>
        <v>0.23298599733890218</v>
      </c>
      <c r="AE181">
        <f t="shared" si="13"/>
        <v>0</v>
      </c>
      <c r="AF181" s="1">
        <v>4487</v>
      </c>
      <c r="AG181" s="1">
        <v>566662</v>
      </c>
      <c r="AH181" s="1">
        <v>2796248</v>
      </c>
      <c r="AI181" s="1">
        <v>2033647</v>
      </c>
      <c r="AJ181" s="1">
        <v>762601</v>
      </c>
      <c r="AK181" s="1">
        <v>901202</v>
      </c>
      <c r="AL181" s="1">
        <v>1895046</v>
      </c>
    </row>
    <row r="182" spans="1:38" x14ac:dyDescent="0.2">
      <c r="A182">
        <v>205</v>
      </c>
      <c r="B182" t="s">
        <v>259</v>
      </c>
      <c r="C182" t="s">
        <v>715</v>
      </c>
      <c r="D182" t="s">
        <v>1057</v>
      </c>
      <c r="E182" t="s">
        <v>1230</v>
      </c>
      <c r="F182" t="s">
        <v>1305</v>
      </c>
      <c r="G182" s="7">
        <v>500</v>
      </c>
      <c r="H182" t="str">
        <f t="shared" si="14"/>
        <v>Z</v>
      </c>
      <c r="I182" s="1">
        <v>2202315</v>
      </c>
      <c r="J182" s="1">
        <v>-218904</v>
      </c>
      <c r="K182" s="1">
        <v>-191296</v>
      </c>
      <c r="L182" s="1">
        <v>-173450</v>
      </c>
      <c r="M182" s="1">
        <v>39851</v>
      </c>
      <c r="N182" s="1">
        <v>0</v>
      </c>
      <c r="O182" s="2">
        <f t="shared" si="10"/>
        <v>0</v>
      </c>
      <c r="P182">
        <f t="shared" si="11"/>
        <v>0</v>
      </c>
      <c r="Q182" s="1">
        <v>1368</v>
      </c>
      <c r="R182" s="1">
        <v>176276</v>
      </c>
      <c r="S182" s="1">
        <v>1902481</v>
      </c>
      <c r="T182" s="1">
        <v>772166</v>
      </c>
      <c r="U182" s="1">
        <v>1130315</v>
      </c>
      <c r="V182" s="1">
        <v>239070</v>
      </c>
      <c r="W182" s="1">
        <v>1663411</v>
      </c>
      <c r="X182" s="1">
        <v>2871674</v>
      </c>
      <c r="Y182" s="1">
        <v>-306976</v>
      </c>
      <c r="Z182" s="1">
        <v>-360904</v>
      </c>
      <c r="AA182" s="1">
        <v>-337347</v>
      </c>
      <c r="AB182" s="1">
        <v>58591</v>
      </c>
      <c r="AC182" s="1">
        <v>0</v>
      </c>
      <c r="AD182" s="2">
        <f t="shared" si="12"/>
        <v>0</v>
      </c>
      <c r="AE182">
        <f t="shared" si="13"/>
        <v>0</v>
      </c>
      <c r="AF182" s="1">
        <v>3155</v>
      </c>
      <c r="AG182" s="1">
        <v>200384</v>
      </c>
      <c r="AH182" s="1">
        <v>6410721</v>
      </c>
      <c r="AI182" s="1">
        <v>2716448</v>
      </c>
      <c r="AJ182" s="1">
        <v>3694273</v>
      </c>
      <c r="AK182" s="1">
        <v>371889</v>
      </c>
      <c r="AL182" s="1">
        <v>6038832</v>
      </c>
    </row>
    <row r="183" spans="1:38" x14ac:dyDescent="0.2">
      <c r="A183">
        <v>206</v>
      </c>
      <c r="B183" t="s">
        <v>263</v>
      </c>
      <c r="C183" t="s">
        <v>719</v>
      </c>
      <c r="D183" t="s">
        <v>1013</v>
      </c>
      <c r="E183" t="s">
        <v>1125</v>
      </c>
      <c r="F183" t="s">
        <v>1302</v>
      </c>
      <c r="G183" s="7">
        <v>540</v>
      </c>
      <c r="H183" t="str">
        <f t="shared" si="14"/>
        <v>Z</v>
      </c>
      <c r="I183" s="1">
        <v>2320297.557</v>
      </c>
      <c r="J183" s="1">
        <v>282841</v>
      </c>
      <c r="K183" s="1">
        <v>254626</v>
      </c>
      <c r="L183" s="1">
        <v>231272</v>
      </c>
      <c r="M183" s="1">
        <v>19459</v>
      </c>
      <c r="N183" s="1">
        <v>0</v>
      </c>
      <c r="O183" s="2">
        <f t="shared" si="10"/>
        <v>0</v>
      </c>
      <c r="P183">
        <f t="shared" si="11"/>
        <v>0</v>
      </c>
      <c r="Q183" s="1">
        <v>845</v>
      </c>
      <c r="R183" s="1">
        <v>113505.3</v>
      </c>
      <c r="S183" s="1">
        <v>3016786</v>
      </c>
      <c r="T183" s="1">
        <v>2289971</v>
      </c>
      <c r="U183" s="1">
        <v>726815</v>
      </c>
      <c r="V183" s="1">
        <v>1580501</v>
      </c>
      <c r="W183" s="1">
        <v>1436286</v>
      </c>
      <c r="X183" s="1">
        <v>2835401.915</v>
      </c>
      <c r="Y183" s="1">
        <v>523538.63500000001</v>
      </c>
      <c r="Z183" s="1">
        <v>550763.78399999999</v>
      </c>
      <c r="AA183" s="1">
        <v>491529.522</v>
      </c>
      <c r="AB183" s="1">
        <v>19904.581999999999</v>
      </c>
      <c r="AC183" s="1">
        <v>0</v>
      </c>
      <c r="AD183" s="2">
        <f t="shared" si="12"/>
        <v>0</v>
      </c>
      <c r="AE183">
        <f t="shared" si="13"/>
        <v>0</v>
      </c>
      <c r="AF183" s="1">
        <v>425</v>
      </c>
      <c r="AG183" s="1">
        <v>103135</v>
      </c>
      <c r="AH183" s="1">
        <v>3871890.6669999999</v>
      </c>
      <c r="AI183" s="1">
        <v>2964838.4279999998</v>
      </c>
      <c r="AJ183" s="1">
        <v>907052.23899999994</v>
      </c>
      <c r="AK183" s="1">
        <v>2927052.3560000001</v>
      </c>
      <c r="AL183" s="1">
        <v>944838.31099999999</v>
      </c>
    </row>
    <row r="184" spans="1:38" x14ac:dyDescent="0.2">
      <c r="A184">
        <v>207</v>
      </c>
      <c r="B184" t="s">
        <v>207</v>
      </c>
      <c r="C184" t="s">
        <v>663</v>
      </c>
      <c r="D184" t="s">
        <v>41</v>
      </c>
      <c r="E184" t="s">
        <v>1207</v>
      </c>
      <c r="F184" t="s">
        <v>1308</v>
      </c>
      <c r="G184" s="7">
        <v>124</v>
      </c>
      <c r="H184" t="str">
        <f t="shared" si="14"/>
        <v>K</v>
      </c>
      <c r="I184" s="1">
        <v>2199622.5397600001</v>
      </c>
      <c r="J184" s="1">
        <v>17892</v>
      </c>
      <c r="K184" s="1">
        <v>28796</v>
      </c>
      <c r="L184" s="1">
        <v>10567</v>
      </c>
      <c r="M184" s="1">
        <v>119988</v>
      </c>
      <c r="N184" s="1">
        <v>857066.05310000002</v>
      </c>
      <c r="O184" s="2">
        <f t="shared" si="10"/>
        <v>0.38964233072166743</v>
      </c>
      <c r="P184">
        <f t="shared" si="11"/>
        <v>0</v>
      </c>
      <c r="Q184" s="1">
        <v>2474</v>
      </c>
      <c r="R184" s="1">
        <v>219948</v>
      </c>
      <c r="S184" s="1">
        <v>3277933</v>
      </c>
      <c r="T184" s="1">
        <v>1711946</v>
      </c>
      <c r="U184" s="1">
        <v>1565987</v>
      </c>
      <c r="V184" s="1">
        <v>2510077</v>
      </c>
      <c r="W184" s="1">
        <v>493770</v>
      </c>
      <c r="X184" s="1">
        <v>5476960</v>
      </c>
      <c r="Y184" s="1">
        <v>234326</v>
      </c>
      <c r="Z184" s="1">
        <v>388070</v>
      </c>
      <c r="AA184" s="1">
        <v>318393</v>
      </c>
      <c r="AB184" s="1">
        <v>459045</v>
      </c>
      <c r="AC184" s="1">
        <v>1930730</v>
      </c>
      <c r="AD184" s="2">
        <f t="shared" si="12"/>
        <v>0.35251855043673863</v>
      </c>
      <c r="AE184">
        <f t="shared" si="13"/>
        <v>0</v>
      </c>
      <c r="AF184" s="1">
        <v>4653.7</v>
      </c>
      <c r="AG184" s="1">
        <v>677544</v>
      </c>
      <c r="AH184" s="1">
        <v>8557322</v>
      </c>
      <c r="AI184" s="1">
        <v>4022323</v>
      </c>
      <c r="AJ184" s="1">
        <v>4534999</v>
      </c>
      <c r="AK184" s="1">
        <v>5482681</v>
      </c>
      <c r="AL184" s="1">
        <v>2240501</v>
      </c>
    </row>
    <row r="185" spans="1:38" x14ac:dyDescent="0.2">
      <c r="A185">
        <v>208</v>
      </c>
      <c r="B185" t="s">
        <v>348</v>
      </c>
      <c r="C185" t="s">
        <v>805</v>
      </c>
      <c r="D185" t="s">
        <v>51</v>
      </c>
      <c r="E185" t="s">
        <v>1251</v>
      </c>
      <c r="F185" t="s">
        <v>1294</v>
      </c>
      <c r="G185" s="7">
        <v>500</v>
      </c>
      <c r="H185" t="str">
        <f t="shared" si="14"/>
        <v>Z</v>
      </c>
      <c r="I185" s="1">
        <v>2191733</v>
      </c>
      <c r="J185" s="1">
        <v>331997</v>
      </c>
      <c r="K185" s="1">
        <v>337042</v>
      </c>
      <c r="L185" s="1">
        <v>287035</v>
      </c>
      <c r="M185" s="1">
        <v>56203</v>
      </c>
      <c r="N185" s="1">
        <v>933823</v>
      </c>
      <c r="O185" s="2">
        <f t="shared" si="10"/>
        <v>0.42606603997840981</v>
      </c>
      <c r="P185">
        <f t="shared" si="11"/>
        <v>0</v>
      </c>
      <c r="Q185" s="1">
        <v>1130</v>
      </c>
      <c r="R185" s="1">
        <v>153269</v>
      </c>
      <c r="S185" s="1">
        <v>1802863</v>
      </c>
      <c r="T185" s="1">
        <v>914867</v>
      </c>
      <c r="U185" s="1">
        <v>887996</v>
      </c>
      <c r="V185" s="1">
        <v>1476621</v>
      </c>
      <c r="W185" s="1">
        <v>326242</v>
      </c>
      <c r="X185" s="1">
        <v>2046252</v>
      </c>
      <c r="Y185" s="1">
        <v>176617</v>
      </c>
      <c r="Z185" s="1">
        <v>178334</v>
      </c>
      <c r="AA185" s="1">
        <v>139294</v>
      </c>
      <c r="AB185" s="1">
        <v>108547</v>
      </c>
      <c r="AC185" s="1">
        <v>853286</v>
      </c>
      <c r="AD185" s="2">
        <f t="shared" si="12"/>
        <v>0.41699947025097595</v>
      </c>
      <c r="AE185">
        <f t="shared" si="13"/>
        <v>0</v>
      </c>
      <c r="AF185" s="1">
        <v>992</v>
      </c>
      <c r="AG185" s="1">
        <v>176679</v>
      </c>
      <c r="AH185" s="1">
        <v>2000616</v>
      </c>
      <c r="AI185" s="1">
        <v>1196257</v>
      </c>
      <c r="AJ185" s="1">
        <v>804359</v>
      </c>
      <c r="AK185" s="1">
        <v>1468081</v>
      </c>
      <c r="AL185" s="1">
        <v>532535</v>
      </c>
    </row>
    <row r="186" spans="1:38" x14ac:dyDescent="0.2">
      <c r="A186">
        <v>209</v>
      </c>
      <c r="B186" t="s">
        <v>221</v>
      </c>
      <c r="C186" t="s">
        <v>677</v>
      </c>
      <c r="D186" t="s">
        <v>965</v>
      </c>
      <c r="E186" t="s">
        <v>1122</v>
      </c>
      <c r="F186" t="s">
        <v>1220</v>
      </c>
      <c r="G186" s="7">
        <v>400</v>
      </c>
      <c r="H186" t="str">
        <f t="shared" si="14"/>
        <v>K</v>
      </c>
      <c r="I186" s="1">
        <v>2211979</v>
      </c>
      <c r="J186" s="1">
        <v>49173</v>
      </c>
      <c r="K186" s="1">
        <v>27642</v>
      </c>
      <c r="L186" s="1">
        <v>17295</v>
      </c>
      <c r="M186" s="1">
        <v>72054</v>
      </c>
      <c r="N186" s="1">
        <v>0</v>
      </c>
      <c r="O186" s="2">
        <f t="shared" si="10"/>
        <v>0</v>
      </c>
      <c r="P186">
        <f t="shared" si="11"/>
        <v>0</v>
      </c>
      <c r="Q186" s="1">
        <v>15210</v>
      </c>
      <c r="R186" s="1">
        <v>917526</v>
      </c>
      <c r="S186" s="1">
        <v>1125812</v>
      </c>
      <c r="T186" s="1">
        <v>359186</v>
      </c>
      <c r="U186" s="1">
        <v>766626</v>
      </c>
      <c r="V186" s="1">
        <v>355548</v>
      </c>
      <c r="W186" s="1">
        <v>770279</v>
      </c>
      <c r="X186" s="1">
        <v>3388444</v>
      </c>
      <c r="Y186" s="1">
        <v>106762</v>
      </c>
      <c r="Z186" s="1">
        <v>63147</v>
      </c>
      <c r="AA186" s="1">
        <v>43746</v>
      </c>
      <c r="AB186" s="1">
        <v>8945</v>
      </c>
      <c r="AC186" s="1">
        <v>0</v>
      </c>
      <c r="AD186" s="2">
        <f t="shared" si="12"/>
        <v>0</v>
      </c>
      <c r="AE186">
        <f t="shared" si="13"/>
        <v>0</v>
      </c>
      <c r="AF186" s="1">
        <v>13433</v>
      </c>
      <c r="AG186" s="1">
        <v>1371080</v>
      </c>
      <c r="AH186" s="1">
        <v>1165079</v>
      </c>
      <c r="AI186" s="1">
        <v>358551</v>
      </c>
      <c r="AJ186" s="1">
        <v>806528</v>
      </c>
      <c r="AK186" s="1">
        <v>371220</v>
      </c>
      <c r="AL186" s="1">
        <v>793859</v>
      </c>
    </row>
    <row r="187" spans="1:38" x14ac:dyDescent="0.2">
      <c r="A187">
        <v>210</v>
      </c>
      <c r="B187" t="s">
        <v>252</v>
      </c>
      <c r="C187" t="s">
        <v>708</v>
      </c>
      <c r="D187" t="s">
        <v>1053</v>
      </c>
      <c r="E187" t="s">
        <v>1226</v>
      </c>
      <c r="F187" t="s">
        <v>1305</v>
      </c>
      <c r="G187" s="7">
        <v>500</v>
      </c>
      <c r="H187" t="str">
        <f t="shared" si="14"/>
        <v>Z</v>
      </c>
      <c r="I187" s="1">
        <v>2176681</v>
      </c>
      <c r="J187" s="1">
        <v>-3253</v>
      </c>
      <c r="K187" s="1">
        <v>-6849</v>
      </c>
      <c r="L187" s="1">
        <v>45069</v>
      </c>
      <c r="M187" s="1">
        <v>115587</v>
      </c>
      <c r="N187" s="1">
        <v>1936783</v>
      </c>
      <c r="O187" s="2">
        <f t="shared" si="10"/>
        <v>0.8897872494867185</v>
      </c>
      <c r="P187">
        <f t="shared" si="11"/>
        <v>1</v>
      </c>
      <c r="Q187" s="1">
        <v>5754</v>
      </c>
      <c r="R187" s="1">
        <v>583682.76756000007</v>
      </c>
      <c r="S187" s="1">
        <v>1283974</v>
      </c>
      <c r="T187" s="1">
        <v>710949</v>
      </c>
      <c r="U187" s="1">
        <v>573025</v>
      </c>
      <c r="V187" s="1">
        <v>726079</v>
      </c>
      <c r="W187" s="1">
        <v>557894.94162000006</v>
      </c>
      <c r="X187" s="1">
        <v>2969273.13203</v>
      </c>
      <c r="Y187" s="1">
        <v>147831.95368999999</v>
      </c>
      <c r="Z187" s="1">
        <v>122623.43141</v>
      </c>
      <c r="AA187" s="1">
        <v>117177.78932</v>
      </c>
      <c r="AB187" s="1">
        <v>107962.61408</v>
      </c>
      <c r="AC187" s="1">
        <v>2792428</v>
      </c>
      <c r="AD187" s="2">
        <f t="shared" si="12"/>
        <v>0.94044160837804214</v>
      </c>
      <c r="AE187">
        <f t="shared" si="13"/>
        <v>1</v>
      </c>
      <c r="AF187" s="1">
        <v>5586</v>
      </c>
      <c r="AG187" s="1">
        <v>935805.83404999995</v>
      </c>
      <c r="AH187" s="1">
        <v>1529544.2527099999</v>
      </c>
      <c r="AI187" s="1">
        <v>765190.18260000006</v>
      </c>
      <c r="AJ187" s="1">
        <v>764354.07010999997</v>
      </c>
      <c r="AK187" s="1">
        <v>713741.35398000001</v>
      </c>
      <c r="AL187" s="1">
        <v>815802.89873000002</v>
      </c>
    </row>
    <row r="188" spans="1:38" x14ac:dyDescent="0.2">
      <c r="A188">
        <v>211</v>
      </c>
      <c r="B188" t="s">
        <v>361</v>
      </c>
      <c r="C188" t="s">
        <v>818</v>
      </c>
      <c r="D188" t="s">
        <v>1086</v>
      </c>
      <c r="E188" t="s">
        <v>1260</v>
      </c>
      <c r="F188" t="s">
        <v>1306</v>
      </c>
      <c r="G188" s="7">
        <v>400</v>
      </c>
      <c r="H188" t="str">
        <f t="shared" si="14"/>
        <v>K</v>
      </c>
      <c r="I188" s="1">
        <v>2165000</v>
      </c>
      <c r="J188" s="1">
        <v>289000</v>
      </c>
      <c r="K188" s="1">
        <v>333000</v>
      </c>
      <c r="L188" s="1">
        <v>249000</v>
      </c>
      <c r="M188" s="1">
        <v>182000</v>
      </c>
      <c r="N188" s="1">
        <v>806000</v>
      </c>
      <c r="O188" s="2">
        <f t="shared" si="10"/>
        <v>0.37228637413394922</v>
      </c>
      <c r="P188">
        <f t="shared" si="11"/>
        <v>0</v>
      </c>
      <c r="Q188" s="1">
        <v>4636</v>
      </c>
      <c r="R188" s="1">
        <v>241000</v>
      </c>
      <c r="S188" s="1">
        <v>2975000</v>
      </c>
      <c r="T188" s="1">
        <v>936000</v>
      </c>
      <c r="U188" s="1">
        <v>2039000</v>
      </c>
      <c r="V188" s="1">
        <v>1511000</v>
      </c>
      <c r="W188" s="1">
        <v>1298000</v>
      </c>
      <c r="X188" s="1">
        <v>1869000</v>
      </c>
      <c r="Y188" s="1">
        <v>256000</v>
      </c>
      <c r="Z188" s="1">
        <v>304000</v>
      </c>
      <c r="AA188" s="1">
        <v>249000</v>
      </c>
      <c r="AB188" s="1">
        <v>247000</v>
      </c>
      <c r="AC188" s="1">
        <v>463000</v>
      </c>
      <c r="AD188" s="2">
        <f t="shared" si="12"/>
        <v>0.24772605671482076</v>
      </c>
      <c r="AE188">
        <f t="shared" si="13"/>
        <v>0</v>
      </c>
      <c r="AF188" s="1">
        <v>2376</v>
      </c>
      <c r="AG188" s="1">
        <v>373000</v>
      </c>
      <c r="AH188" s="1">
        <v>3848000</v>
      </c>
      <c r="AI188" s="1">
        <v>1748000</v>
      </c>
      <c r="AJ188" s="1">
        <v>2100000</v>
      </c>
      <c r="AK188" s="1">
        <v>2273000</v>
      </c>
      <c r="AL188" s="1">
        <v>1575000</v>
      </c>
    </row>
    <row r="189" spans="1:38" x14ac:dyDescent="0.2">
      <c r="A189">
        <v>212</v>
      </c>
      <c r="B189" t="s">
        <v>493</v>
      </c>
      <c r="C189" t="s">
        <v>947</v>
      </c>
      <c r="D189" t="s">
        <v>973</v>
      </c>
      <c r="E189" t="s">
        <v>1130</v>
      </c>
      <c r="F189" t="s">
        <v>1304</v>
      </c>
      <c r="G189" s="7">
        <v>450</v>
      </c>
      <c r="H189" t="str">
        <f t="shared" si="14"/>
        <v>K</v>
      </c>
      <c r="I189" s="1">
        <v>1839925</v>
      </c>
      <c r="J189" s="1">
        <v>-95913.947029999996</v>
      </c>
      <c r="K189" s="1">
        <v>-99853</v>
      </c>
      <c r="L189" s="1">
        <v>-99853.144780000002</v>
      </c>
      <c r="M189" s="1">
        <v>517.84735999999998</v>
      </c>
      <c r="N189" s="1">
        <v>177</v>
      </c>
      <c r="O189" s="2">
        <f t="shared" si="10"/>
        <v>9.6199573352174676E-5</v>
      </c>
      <c r="P189">
        <f t="shared" si="11"/>
        <v>0</v>
      </c>
      <c r="Q189" s="1">
        <v>190</v>
      </c>
      <c r="R189" s="1">
        <v>21237</v>
      </c>
      <c r="S189" s="1">
        <v>461938</v>
      </c>
      <c r="T189" s="1">
        <v>11495</v>
      </c>
      <c r="U189" s="1">
        <v>450443</v>
      </c>
      <c r="V189" s="1">
        <v>10105.737929999999</v>
      </c>
      <c r="W189" s="1">
        <v>451832</v>
      </c>
      <c r="X189" s="1">
        <v>2583351</v>
      </c>
      <c r="Y189" s="1">
        <v>-2528</v>
      </c>
      <c r="Z189" s="1">
        <v>6471</v>
      </c>
      <c r="AA189" s="1">
        <v>6216</v>
      </c>
      <c r="AB189" s="1">
        <v>714</v>
      </c>
      <c r="AC189" s="1">
        <v>5</v>
      </c>
      <c r="AD189" s="2">
        <f t="shared" si="12"/>
        <v>1.9354706348459809E-6</v>
      </c>
      <c r="AE189">
        <f t="shared" si="13"/>
        <v>0</v>
      </c>
      <c r="AF189" s="1">
        <v>215</v>
      </c>
      <c r="AG189" s="1">
        <v>0</v>
      </c>
      <c r="AH189" s="1">
        <v>465190</v>
      </c>
      <c r="AI189" s="1">
        <v>21843</v>
      </c>
      <c r="AJ189" s="1">
        <v>443347</v>
      </c>
      <c r="AK189" s="1">
        <v>70330</v>
      </c>
      <c r="AL189" s="1">
        <v>535520</v>
      </c>
    </row>
    <row r="190" spans="1:38" x14ac:dyDescent="0.2">
      <c r="A190">
        <v>213</v>
      </c>
      <c r="B190" t="s">
        <v>262</v>
      </c>
      <c r="C190" t="s">
        <v>718</v>
      </c>
      <c r="D190" t="s">
        <v>997</v>
      </c>
      <c r="E190" t="s">
        <v>1156</v>
      </c>
      <c r="F190" t="s">
        <v>1309</v>
      </c>
      <c r="G190" s="7">
        <v>500</v>
      </c>
      <c r="H190" t="str">
        <f t="shared" si="14"/>
        <v>Z</v>
      </c>
      <c r="I190" s="1">
        <v>2151276</v>
      </c>
      <c r="J190" s="1">
        <v>103069</v>
      </c>
      <c r="K190" s="1">
        <v>103415</v>
      </c>
      <c r="L190" s="1">
        <v>100224</v>
      </c>
      <c r="M190" s="1">
        <v>96561</v>
      </c>
      <c r="N190" s="1">
        <v>1456999</v>
      </c>
      <c r="O190" s="2">
        <f t="shared" si="10"/>
        <v>0.67727200043137192</v>
      </c>
      <c r="P190">
        <f t="shared" si="11"/>
        <v>1</v>
      </c>
      <c r="Q190" s="1">
        <v>5589</v>
      </c>
      <c r="R190" s="1">
        <v>1020371</v>
      </c>
      <c r="S190" s="1">
        <v>1263641</v>
      </c>
      <c r="T190" s="1">
        <v>392949</v>
      </c>
      <c r="U190" s="1">
        <v>870692</v>
      </c>
      <c r="V190" s="1">
        <v>512124</v>
      </c>
      <c r="W190" s="1">
        <v>751517</v>
      </c>
      <c r="X190" s="1">
        <v>2840934</v>
      </c>
      <c r="Y190" s="1">
        <v>53557</v>
      </c>
      <c r="Z190" s="1">
        <v>69125</v>
      </c>
      <c r="AA190" s="1">
        <v>71341</v>
      </c>
      <c r="AB190" s="1">
        <v>108543</v>
      </c>
      <c r="AC190" s="1">
        <v>2153358</v>
      </c>
      <c r="AD190" s="2">
        <f t="shared" si="12"/>
        <v>0.75797537007195526</v>
      </c>
      <c r="AE190">
        <f t="shared" si="13"/>
        <v>1</v>
      </c>
      <c r="AF190" s="1">
        <v>6505</v>
      </c>
      <c r="AG190" s="1">
        <v>1789160</v>
      </c>
      <c r="AH190" s="1">
        <v>1428889</v>
      </c>
      <c r="AI190" s="1">
        <v>485989</v>
      </c>
      <c r="AJ190" s="1">
        <v>942900</v>
      </c>
      <c r="AK190" s="1">
        <v>483241</v>
      </c>
      <c r="AL190" s="1">
        <v>945648</v>
      </c>
    </row>
    <row r="191" spans="1:38" x14ac:dyDescent="0.2">
      <c r="A191">
        <v>214</v>
      </c>
      <c r="B191" t="s">
        <v>420</v>
      </c>
      <c r="C191" t="s">
        <v>877</v>
      </c>
      <c r="D191" t="s">
        <v>979</v>
      </c>
      <c r="E191" t="s">
        <v>1136</v>
      </c>
      <c r="F191" t="s">
        <v>1301</v>
      </c>
      <c r="G191" s="7">
        <v>400</v>
      </c>
      <c r="H191" t="str">
        <f t="shared" si="14"/>
        <v>K</v>
      </c>
      <c r="I191" s="1">
        <v>1999022</v>
      </c>
      <c r="J191" s="1">
        <v>14553</v>
      </c>
      <c r="K191" s="1">
        <v>15816</v>
      </c>
      <c r="L191" s="1">
        <v>5701</v>
      </c>
      <c r="M191" s="1">
        <v>19943</v>
      </c>
      <c r="N191" s="1">
        <v>50000</v>
      </c>
      <c r="O191" s="2">
        <f t="shared" si="10"/>
        <v>2.5012230980949686E-2</v>
      </c>
      <c r="P191">
        <f t="shared" si="11"/>
        <v>0</v>
      </c>
      <c r="Q191" s="1">
        <v>2730</v>
      </c>
      <c r="R191" s="1">
        <v>164633</v>
      </c>
      <c r="S191" s="1">
        <v>703654</v>
      </c>
      <c r="T191" s="1">
        <v>107726</v>
      </c>
      <c r="U191" s="1">
        <v>595928</v>
      </c>
      <c r="V191" s="1">
        <v>208030</v>
      </c>
      <c r="W191" s="1">
        <v>468963</v>
      </c>
      <c r="X191" s="1">
        <v>1517745</v>
      </c>
      <c r="Y191" s="1">
        <v>-381066</v>
      </c>
      <c r="Z191" s="1">
        <v>-401004</v>
      </c>
      <c r="AA191" s="1">
        <v>-374665</v>
      </c>
      <c r="AB191" s="1">
        <v>17646</v>
      </c>
      <c r="AC191" s="1">
        <v>16090</v>
      </c>
      <c r="AD191" s="2">
        <f t="shared" si="12"/>
        <v>1.0601253833812663E-2</v>
      </c>
      <c r="AE191">
        <f t="shared" si="13"/>
        <v>0</v>
      </c>
      <c r="AF191" s="1">
        <v>1837</v>
      </c>
      <c r="AG191" s="1">
        <v>206917</v>
      </c>
      <c r="AH191" s="1">
        <v>453512</v>
      </c>
      <c r="AI191" s="1">
        <v>94500</v>
      </c>
      <c r="AJ191" s="1">
        <v>359012</v>
      </c>
      <c r="AK191" s="1">
        <v>-163606</v>
      </c>
      <c r="AL191" s="1">
        <v>617118</v>
      </c>
    </row>
    <row r="192" spans="1:38" x14ac:dyDescent="0.2">
      <c r="A192">
        <v>215</v>
      </c>
      <c r="B192" t="s">
        <v>212</v>
      </c>
      <c r="C192" t="s">
        <v>668</v>
      </c>
      <c r="D192" t="s">
        <v>974</v>
      </c>
      <c r="E192" t="s">
        <v>1131</v>
      </c>
      <c r="F192" t="s">
        <v>1305</v>
      </c>
      <c r="G192" s="7">
        <v>500</v>
      </c>
      <c r="H192" t="str">
        <f t="shared" si="14"/>
        <v>Z</v>
      </c>
      <c r="I192" s="1">
        <v>2159259</v>
      </c>
      <c r="J192" s="1">
        <v>172492</v>
      </c>
      <c r="K192" s="1">
        <v>178019</v>
      </c>
      <c r="L192" s="1">
        <v>142825</v>
      </c>
      <c r="M192" s="1">
        <v>25787</v>
      </c>
      <c r="N192" s="1">
        <v>22378</v>
      </c>
      <c r="O192" s="2">
        <f t="shared" si="10"/>
        <v>1.0363740523948261E-2</v>
      </c>
      <c r="P192">
        <f t="shared" si="11"/>
        <v>0</v>
      </c>
      <c r="Q192" s="1">
        <v>739</v>
      </c>
      <c r="R192" s="1">
        <v>114719</v>
      </c>
      <c r="S192" s="1">
        <v>876906</v>
      </c>
      <c r="T192" s="1">
        <v>563041</v>
      </c>
      <c r="U192" s="1">
        <v>313865</v>
      </c>
      <c r="V192" s="1">
        <v>200220</v>
      </c>
      <c r="W192" s="1">
        <v>676686</v>
      </c>
      <c r="X192" s="1">
        <v>3596847</v>
      </c>
      <c r="Y192" s="1">
        <v>282278</v>
      </c>
      <c r="Z192" s="1">
        <v>307379</v>
      </c>
      <c r="AA192" s="1">
        <v>246891</v>
      </c>
      <c r="AB192" s="1">
        <v>41213</v>
      </c>
      <c r="AC192" s="1">
        <v>27188</v>
      </c>
      <c r="AD192" s="2">
        <f t="shared" si="12"/>
        <v>7.5588425084525419E-3</v>
      </c>
      <c r="AE192">
        <f t="shared" si="13"/>
        <v>0</v>
      </c>
      <c r="AF192" s="1">
        <v>844</v>
      </c>
      <c r="AG192" s="1">
        <v>196632</v>
      </c>
      <c r="AH192" s="1">
        <v>1084052</v>
      </c>
      <c r="AI192" s="1">
        <v>213070</v>
      </c>
      <c r="AJ192" s="1">
        <v>870982</v>
      </c>
      <c r="AK192" s="1">
        <v>361350</v>
      </c>
      <c r="AL192" s="1">
        <v>722702</v>
      </c>
    </row>
    <row r="193" spans="1:38" x14ac:dyDescent="0.2">
      <c r="A193">
        <v>216</v>
      </c>
      <c r="B193" t="s">
        <v>209</v>
      </c>
      <c r="C193" t="s">
        <v>665</v>
      </c>
      <c r="D193" t="s">
        <v>985</v>
      </c>
      <c r="E193" t="s">
        <v>1143</v>
      </c>
      <c r="F193" t="s">
        <v>1303</v>
      </c>
      <c r="G193" s="7">
        <v>145</v>
      </c>
      <c r="H193" t="str">
        <f t="shared" si="14"/>
        <v>K</v>
      </c>
      <c r="I193" s="1">
        <v>2157861</v>
      </c>
      <c r="J193" s="1">
        <v>375222</v>
      </c>
      <c r="K193" s="1">
        <v>378576</v>
      </c>
      <c r="L193" s="1">
        <v>308746</v>
      </c>
      <c r="M193" s="1">
        <v>392370</v>
      </c>
      <c r="N193" s="1">
        <v>83</v>
      </c>
      <c r="O193" s="2">
        <f t="shared" si="10"/>
        <v>3.8464015986201149E-5</v>
      </c>
      <c r="P193">
        <f t="shared" si="11"/>
        <v>0</v>
      </c>
      <c r="Q193" s="1">
        <v>5654</v>
      </c>
      <c r="R193" s="1">
        <v>698918</v>
      </c>
      <c r="S193" s="1">
        <v>4252464</v>
      </c>
      <c r="T193" s="1">
        <v>3509780</v>
      </c>
      <c r="U193" s="1">
        <v>742684</v>
      </c>
      <c r="V193" s="1">
        <v>3228502</v>
      </c>
      <c r="W193" s="1">
        <v>1023962</v>
      </c>
      <c r="X193" s="1">
        <v>3665056</v>
      </c>
      <c r="Y193" s="1">
        <v>-1855031</v>
      </c>
      <c r="Z193" s="1">
        <v>-1833323</v>
      </c>
      <c r="AA193" s="1">
        <v>-1491348</v>
      </c>
      <c r="AB193" s="1">
        <v>398847</v>
      </c>
      <c r="AC193" s="1">
        <v>0</v>
      </c>
      <c r="AD193" s="2">
        <f t="shared" si="12"/>
        <v>0</v>
      </c>
      <c r="AE193">
        <f t="shared" si="13"/>
        <v>0</v>
      </c>
      <c r="AF193" s="1">
        <v>6167</v>
      </c>
      <c r="AG193" s="1">
        <v>1304685</v>
      </c>
      <c r="AH193" s="1">
        <v>3904460</v>
      </c>
      <c r="AI193" s="1">
        <v>2231970</v>
      </c>
      <c r="AJ193" s="1">
        <v>1672490</v>
      </c>
      <c r="AK193" s="1">
        <v>2706495</v>
      </c>
      <c r="AL193" s="1">
        <v>1197965</v>
      </c>
    </row>
    <row r="194" spans="1:38" x14ac:dyDescent="0.2">
      <c r="A194">
        <v>218</v>
      </c>
      <c r="B194" t="s">
        <v>247</v>
      </c>
      <c r="C194" t="s">
        <v>703</v>
      </c>
      <c r="D194" t="s">
        <v>1050</v>
      </c>
      <c r="E194" t="s">
        <v>1223</v>
      </c>
      <c r="F194" t="s">
        <v>1305</v>
      </c>
      <c r="G194" s="7">
        <v>500</v>
      </c>
      <c r="H194" t="str">
        <f t="shared" si="14"/>
        <v>Z</v>
      </c>
      <c r="I194" s="1">
        <v>2109927.4704300002</v>
      </c>
      <c r="J194" s="1">
        <v>30718</v>
      </c>
      <c r="K194" s="1">
        <v>41620</v>
      </c>
      <c r="L194" s="1">
        <v>32230</v>
      </c>
      <c r="M194" s="1">
        <v>186602</v>
      </c>
      <c r="N194" s="1">
        <v>138137</v>
      </c>
      <c r="O194" s="2">
        <f t="shared" ref="O194:O257" si="15">IF(I194=0,0,N194/I194)</f>
        <v>6.5470022991760884E-2</v>
      </c>
      <c r="P194">
        <f t="shared" ref="P194:P257" si="16">IF(O194&gt;50%,1,0)</f>
        <v>0</v>
      </c>
      <c r="Q194" s="1">
        <v>443</v>
      </c>
      <c r="R194" s="1">
        <v>84348.691519999993</v>
      </c>
      <c r="S194" s="1">
        <v>1845398</v>
      </c>
      <c r="T194" s="1">
        <v>1249401</v>
      </c>
      <c r="U194" s="1">
        <v>595997</v>
      </c>
      <c r="V194" s="1">
        <v>38942</v>
      </c>
      <c r="W194" s="1">
        <v>1806456.3416500001</v>
      </c>
      <c r="X194" s="1">
        <v>2992576.0081600002</v>
      </c>
      <c r="Y194" s="1">
        <v>78660.73487</v>
      </c>
      <c r="Z194" s="1">
        <v>57777.890880000014</v>
      </c>
      <c r="AA194" s="1">
        <v>46651.77162</v>
      </c>
      <c r="AB194" s="1">
        <v>200306.08768999999</v>
      </c>
      <c r="AC194" s="1">
        <v>288675</v>
      </c>
      <c r="AD194" s="2">
        <f t="shared" ref="AD194:AD257" si="17">IF(X194=0,0,AC194/X194)</f>
        <v>9.6463715278360868E-2</v>
      </c>
      <c r="AE194">
        <f t="shared" ref="AE194:AE257" si="18">IF(AD194&gt;50%,1,0)</f>
        <v>0</v>
      </c>
      <c r="AF194" s="1">
        <v>496</v>
      </c>
      <c r="AG194" s="1">
        <v>123187.07524999999</v>
      </c>
      <c r="AH194" s="1">
        <v>1651890.2898200001</v>
      </c>
      <c r="AI194" s="1">
        <v>957813.89098000003</v>
      </c>
      <c r="AJ194" s="1">
        <v>694076.39884000004</v>
      </c>
      <c r="AK194" s="1">
        <v>208691.16032</v>
      </c>
      <c r="AL194" s="1">
        <v>1443199.1295</v>
      </c>
    </row>
    <row r="195" spans="1:38" x14ac:dyDescent="0.2">
      <c r="A195">
        <v>219</v>
      </c>
      <c r="B195" t="s">
        <v>494</v>
      </c>
      <c r="C195" t="s">
        <v>948</v>
      </c>
      <c r="D195" t="s">
        <v>964</v>
      </c>
      <c r="E195" t="s">
        <v>1121</v>
      </c>
      <c r="F195" t="s">
        <v>1220</v>
      </c>
      <c r="G195" s="7">
        <v>400</v>
      </c>
      <c r="H195" t="str">
        <f t="shared" ref="H195:H258" si="19">IF(G195&lt;500,"K","Z")</f>
        <v>K</v>
      </c>
      <c r="I195" s="1">
        <v>2105762.4350000001</v>
      </c>
      <c r="J195" s="1">
        <v>92703.698000000004</v>
      </c>
      <c r="K195" s="1">
        <v>92472</v>
      </c>
      <c r="L195" s="1">
        <v>74500.555999999997</v>
      </c>
      <c r="M195" s="1">
        <v>5535.0659999999998</v>
      </c>
      <c r="N195" s="1">
        <v>0</v>
      </c>
      <c r="O195" s="2">
        <f t="shared" si="15"/>
        <v>0</v>
      </c>
      <c r="P195">
        <f t="shared" si="16"/>
        <v>0</v>
      </c>
      <c r="Q195" s="1">
        <v>967</v>
      </c>
      <c r="R195" s="1">
        <v>51788.199639999999</v>
      </c>
      <c r="S195" s="1">
        <v>171868</v>
      </c>
      <c r="T195" s="1">
        <v>122258</v>
      </c>
      <c r="U195" s="1">
        <v>49610</v>
      </c>
      <c r="V195" s="1">
        <v>85876.557000000001</v>
      </c>
      <c r="W195" s="1">
        <v>85991.675090000004</v>
      </c>
      <c r="X195" s="1">
        <v>287168.41905999999</v>
      </c>
      <c r="Y195" s="1">
        <v>34765.801399999997</v>
      </c>
      <c r="Z195" s="1">
        <v>41139.551359999998</v>
      </c>
      <c r="AA195" s="1">
        <v>32026.585149999999</v>
      </c>
      <c r="AB195" s="1">
        <v>9886.0601399999996</v>
      </c>
      <c r="AC195" s="1">
        <v>0</v>
      </c>
      <c r="AD195" s="2">
        <f t="shared" si="17"/>
        <v>0</v>
      </c>
      <c r="AE195">
        <f t="shared" si="18"/>
        <v>0</v>
      </c>
      <c r="AF195" s="1">
        <v>577</v>
      </c>
      <c r="AG195" s="1">
        <v>53010.47681</v>
      </c>
      <c r="AH195" s="1">
        <v>316998.7954</v>
      </c>
      <c r="AI195" s="1">
        <v>229739.48637</v>
      </c>
      <c r="AJ195" s="1">
        <v>87259.309030000004</v>
      </c>
      <c r="AK195" s="1">
        <v>39366.486720000001</v>
      </c>
      <c r="AL195" s="1">
        <v>277632.30868000002</v>
      </c>
    </row>
    <row r="196" spans="1:38" x14ac:dyDescent="0.2">
      <c r="A196">
        <v>220</v>
      </c>
      <c r="B196" t="s">
        <v>206</v>
      </c>
      <c r="C196" t="s">
        <v>662</v>
      </c>
      <c r="D196" t="s">
        <v>974</v>
      </c>
      <c r="E196" t="s">
        <v>1131</v>
      </c>
      <c r="F196" t="s">
        <v>1305</v>
      </c>
      <c r="G196" s="7">
        <v>500</v>
      </c>
      <c r="H196" t="str">
        <f t="shared" si="19"/>
        <v>Z</v>
      </c>
      <c r="I196" s="1">
        <v>2105342</v>
      </c>
      <c r="J196" s="1">
        <v>59838</v>
      </c>
      <c r="K196" s="1">
        <v>54979</v>
      </c>
      <c r="L196" s="1">
        <v>44277</v>
      </c>
      <c r="M196" s="1">
        <v>8619</v>
      </c>
      <c r="N196" s="1">
        <v>0</v>
      </c>
      <c r="O196" s="2">
        <f t="shared" si="15"/>
        <v>0</v>
      </c>
      <c r="P196">
        <f t="shared" si="16"/>
        <v>0</v>
      </c>
      <c r="Q196" s="1">
        <v>68</v>
      </c>
      <c r="R196" s="1">
        <v>13699.620720000001</v>
      </c>
      <c r="S196" s="1">
        <v>443916</v>
      </c>
      <c r="T196" s="1">
        <v>58041</v>
      </c>
      <c r="U196" s="1">
        <v>385875</v>
      </c>
      <c r="V196" s="1">
        <v>119434</v>
      </c>
      <c r="W196" s="1">
        <v>324481.56932000001</v>
      </c>
      <c r="X196" s="1">
        <v>3794150.4244300001</v>
      </c>
      <c r="Y196" s="1">
        <v>52280.81493</v>
      </c>
      <c r="Z196" s="1">
        <v>20020.676240000001</v>
      </c>
      <c r="AA196" s="1">
        <v>14591.697889999999</v>
      </c>
      <c r="AB196" s="1">
        <v>3890.9263000000001</v>
      </c>
      <c r="AC196" s="1">
        <v>36426.922139999973</v>
      </c>
      <c r="AD196" s="2">
        <f t="shared" si="17"/>
        <v>9.6008112660616075E-3</v>
      </c>
      <c r="AE196">
        <f t="shared" si="18"/>
        <v>0</v>
      </c>
      <c r="AF196" s="1">
        <v>73.98</v>
      </c>
      <c r="AG196" s="1">
        <v>21568.829109999999</v>
      </c>
      <c r="AH196" s="1">
        <v>942182.51168999996</v>
      </c>
      <c r="AI196" s="1">
        <v>46021.778259999999</v>
      </c>
      <c r="AJ196" s="1">
        <v>896160.73342999991</v>
      </c>
      <c r="AK196" s="1">
        <v>343554.02325999999</v>
      </c>
      <c r="AL196" s="1">
        <v>598628.48842999991</v>
      </c>
    </row>
    <row r="197" spans="1:38" x14ac:dyDescent="0.2">
      <c r="A197">
        <v>222</v>
      </c>
      <c r="B197" t="s">
        <v>495</v>
      </c>
      <c r="C197" t="s">
        <v>949</v>
      </c>
      <c r="D197" t="s">
        <v>1080</v>
      </c>
      <c r="E197" t="s">
        <v>1255</v>
      </c>
      <c r="F197" t="s">
        <v>1305</v>
      </c>
      <c r="G197" s="7">
        <v>500</v>
      </c>
      <c r="H197" t="str">
        <f t="shared" si="19"/>
        <v>Z</v>
      </c>
      <c r="I197" s="1">
        <v>2392159.17796</v>
      </c>
      <c r="J197" s="1">
        <v>86338</v>
      </c>
      <c r="K197" s="1">
        <v>85873</v>
      </c>
      <c r="L197" s="1">
        <v>144585</v>
      </c>
      <c r="M197" s="1">
        <v>26926</v>
      </c>
      <c r="N197" s="1">
        <v>1431787</v>
      </c>
      <c r="O197" s="2">
        <f t="shared" si="15"/>
        <v>0.59853333055411806</v>
      </c>
      <c r="P197">
        <f t="shared" si="16"/>
        <v>1</v>
      </c>
      <c r="Q197" s="1">
        <v>1788</v>
      </c>
      <c r="R197" s="1">
        <v>290778</v>
      </c>
      <c r="S197" s="1">
        <v>2108020</v>
      </c>
      <c r="T197" s="1">
        <v>365289</v>
      </c>
      <c r="U197" s="1">
        <v>1742731</v>
      </c>
      <c r="V197" s="1">
        <v>513286</v>
      </c>
      <c r="W197" s="1">
        <v>1594733.9382799999</v>
      </c>
      <c r="X197" s="1">
        <v>2056462</v>
      </c>
      <c r="Y197" s="1">
        <v>93114</v>
      </c>
      <c r="Z197" s="1">
        <v>75661</v>
      </c>
      <c r="AA197" s="1">
        <v>49218</v>
      </c>
      <c r="AB197" s="1">
        <v>35244</v>
      </c>
      <c r="AC197" s="1">
        <v>1545403</v>
      </c>
      <c r="AD197" s="2">
        <f t="shared" si="17"/>
        <v>0.75148629053199134</v>
      </c>
      <c r="AE197">
        <f t="shared" si="18"/>
        <v>1</v>
      </c>
      <c r="AF197" s="1">
        <v>1483</v>
      </c>
      <c r="AG197" s="1">
        <v>390657</v>
      </c>
      <c r="AH197" s="1">
        <v>1733439</v>
      </c>
      <c r="AI197" s="1">
        <v>321181</v>
      </c>
      <c r="AJ197" s="1">
        <v>1412258</v>
      </c>
      <c r="AK197" s="1">
        <v>362537</v>
      </c>
      <c r="AL197" s="1">
        <v>1370901</v>
      </c>
    </row>
    <row r="198" spans="1:38" x14ac:dyDescent="0.2">
      <c r="A198">
        <v>223</v>
      </c>
      <c r="B198" t="s">
        <v>293</v>
      </c>
      <c r="C198" t="s">
        <v>749</v>
      </c>
      <c r="D198" t="s">
        <v>1043</v>
      </c>
      <c r="E198" t="s">
        <v>1217</v>
      </c>
      <c r="F198" t="s">
        <v>1309</v>
      </c>
      <c r="G198" s="7">
        <v>500</v>
      </c>
      <c r="H198" t="str">
        <f t="shared" si="19"/>
        <v>Z</v>
      </c>
      <c r="I198" s="1">
        <v>2069901</v>
      </c>
      <c r="J198" s="1">
        <v>671473</v>
      </c>
      <c r="K198" s="1">
        <v>650758</v>
      </c>
      <c r="L198" s="1">
        <v>540567</v>
      </c>
      <c r="M198" s="1">
        <v>593195</v>
      </c>
      <c r="N198" s="1">
        <v>0</v>
      </c>
      <c r="O198" s="2">
        <f t="shared" si="15"/>
        <v>0</v>
      </c>
      <c r="P198">
        <f t="shared" si="16"/>
        <v>0</v>
      </c>
      <c r="Q198" s="1">
        <v>1625</v>
      </c>
      <c r="R198" s="1">
        <v>218968</v>
      </c>
      <c r="S198" s="1">
        <v>3151939</v>
      </c>
      <c r="T198" s="1">
        <v>1812109</v>
      </c>
      <c r="U198" s="1">
        <v>1339830</v>
      </c>
      <c r="V198" s="1">
        <v>2228737</v>
      </c>
      <c r="W198" s="1">
        <v>923202</v>
      </c>
      <c r="X198" s="1">
        <v>2489634</v>
      </c>
      <c r="Y198" s="1">
        <v>720145</v>
      </c>
      <c r="Z198" s="1">
        <v>747153</v>
      </c>
      <c r="AA198" s="1">
        <v>578709</v>
      </c>
      <c r="AB198" s="1">
        <v>735174</v>
      </c>
      <c r="AC198" s="1">
        <v>0</v>
      </c>
      <c r="AD198" s="2">
        <f t="shared" si="17"/>
        <v>0</v>
      </c>
      <c r="AE198">
        <f t="shared" si="18"/>
        <v>0</v>
      </c>
      <c r="AF198" s="1">
        <v>2413</v>
      </c>
      <c r="AG198" s="1">
        <v>389079</v>
      </c>
      <c r="AH198" s="1">
        <v>4487264</v>
      </c>
      <c r="AI198" s="1">
        <v>2237815</v>
      </c>
      <c r="AJ198" s="1">
        <v>2249449</v>
      </c>
      <c r="AK198" s="1">
        <v>3148644</v>
      </c>
      <c r="AL198" s="1">
        <v>1338620</v>
      </c>
    </row>
    <row r="199" spans="1:38" x14ac:dyDescent="0.2">
      <c r="A199">
        <v>224</v>
      </c>
      <c r="B199" t="s">
        <v>268</v>
      </c>
      <c r="C199" t="s">
        <v>724</v>
      </c>
      <c r="D199" t="s">
        <v>1036</v>
      </c>
      <c r="E199" t="s">
        <v>1210</v>
      </c>
      <c r="F199" t="s">
        <v>1305</v>
      </c>
      <c r="G199" s="7">
        <v>500</v>
      </c>
      <c r="H199" t="str">
        <f t="shared" si="19"/>
        <v>Z</v>
      </c>
      <c r="I199" s="1">
        <v>2069182.0216399999</v>
      </c>
      <c r="J199" s="1">
        <v>291607</v>
      </c>
      <c r="K199" s="1">
        <v>289632</v>
      </c>
      <c r="L199" s="1">
        <v>263394</v>
      </c>
      <c r="M199" s="1">
        <v>164676</v>
      </c>
      <c r="N199" s="1">
        <v>2022210</v>
      </c>
      <c r="O199" s="2">
        <f t="shared" si="15"/>
        <v>0.97729923170182453</v>
      </c>
      <c r="P199">
        <f t="shared" si="16"/>
        <v>1</v>
      </c>
      <c r="Q199" s="1">
        <v>2177</v>
      </c>
      <c r="R199" s="1">
        <v>213854.09513999999</v>
      </c>
      <c r="S199" s="1">
        <v>2216836</v>
      </c>
      <c r="T199" s="1">
        <v>1352084</v>
      </c>
      <c r="U199" s="1">
        <v>864752</v>
      </c>
      <c r="V199" s="1">
        <v>1582639</v>
      </c>
      <c r="W199" s="1">
        <v>634200.58768</v>
      </c>
      <c r="X199" s="1">
        <v>2722980.1600299999</v>
      </c>
      <c r="Y199" s="1">
        <v>266910.28276999999</v>
      </c>
      <c r="Z199" s="1">
        <v>266689.81315</v>
      </c>
      <c r="AA199" s="1">
        <v>218733.78714999999</v>
      </c>
      <c r="AB199" s="1">
        <v>178783.32006999999</v>
      </c>
      <c r="AC199" s="1">
        <v>2693520</v>
      </c>
      <c r="AD199" s="2">
        <f t="shared" si="17"/>
        <v>0.98918091271378361</v>
      </c>
      <c r="AE199">
        <f t="shared" si="18"/>
        <v>1</v>
      </c>
      <c r="AF199" s="1">
        <v>2442</v>
      </c>
      <c r="AG199" s="1">
        <v>356147.58476</v>
      </c>
      <c r="AH199" s="1">
        <v>2973920.000130001</v>
      </c>
      <c r="AI199" s="1">
        <v>1576962.4141899999</v>
      </c>
      <c r="AJ199" s="1">
        <v>1396957.5859399999</v>
      </c>
      <c r="AK199" s="1">
        <v>2241717.1074600001</v>
      </c>
      <c r="AL199" s="1">
        <v>732202.89266999997</v>
      </c>
    </row>
    <row r="200" spans="1:38" x14ac:dyDescent="0.2">
      <c r="A200">
        <v>225</v>
      </c>
      <c r="B200" t="s">
        <v>476</v>
      </c>
      <c r="C200" t="s">
        <v>932</v>
      </c>
      <c r="D200" t="s">
        <v>1041</v>
      </c>
      <c r="E200" t="s">
        <v>1214</v>
      </c>
      <c r="F200" t="s">
        <v>1294</v>
      </c>
      <c r="G200" s="7">
        <v>500</v>
      </c>
      <c r="H200" t="str">
        <f t="shared" si="19"/>
        <v>Z</v>
      </c>
      <c r="I200" s="1">
        <v>2066624</v>
      </c>
      <c r="J200" s="1">
        <v>13963</v>
      </c>
      <c r="K200" s="1">
        <v>23219</v>
      </c>
      <c r="L200" s="1">
        <v>20474</v>
      </c>
      <c r="M200" s="1">
        <v>24912</v>
      </c>
      <c r="N200" s="1">
        <v>46498</v>
      </c>
      <c r="O200" s="2">
        <f t="shared" si="15"/>
        <v>2.2499496763804156E-2</v>
      </c>
      <c r="P200">
        <f t="shared" si="16"/>
        <v>0</v>
      </c>
      <c r="Q200" s="1">
        <v>2616</v>
      </c>
      <c r="R200" s="1">
        <v>399650</v>
      </c>
      <c r="S200" s="1">
        <v>1276268</v>
      </c>
      <c r="T200" s="1">
        <v>66989</v>
      </c>
      <c r="U200" s="1">
        <v>1209279</v>
      </c>
      <c r="V200" s="1">
        <v>119550</v>
      </c>
      <c r="W200" s="1">
        <v>1156718</v>
      </c>
      <c r="X200" s="1">
        <v>914500</v>
      </c>
      <c r="Y200" s="1">
        <v>6300</v>
      </c>
      <c r="Z200" s="1">
        <v>50800</v>
      </c>
      <c r="AA200" s="1">
        <v>66000</v>
      </c>
      <c r="AB200" s="1">
        <v>13400</v>
      </c>
      <c r="AC200" s="1">
        <v>0</v>
      </c>
      <c r="AD200" s="2">
        <f t="shared" si="17"/>
        <v>0</v>
      </c>
      <c r="AE200">
        <f t="shared" si="18"/>
        <v>0</v>
      </c>
      <c r="AF200" s="1">
        <v>1070</v>
      </c>
      <c r="AG200" s="1">
        <v>206900</v>
      </c>
      <c r="AH200" s="1">
        <v>1180300</v>
      </c>
      <c r="AI200" s="1">
        <v>80000</v>
      </c>
      <c r="AJ200" s="1">
        <v>1100300</v>
      </c>
      <c r="AK200" s="1">
        <v>329200</v>
      </c>
      <c r="AL200" s="1">
        <v>851100</v>
      </c>
    </row>
    <row r="201" spans="1:38" x14ac:dyDescent="0.2">
      <c r="A201">
        <v>226</v>
      </c>
      <c r="B201" t="s">
        <v>236</v>
      </c>
      <c r="C201" t="s">
        <v>692</v>
      </c>
      <c r="D201" t="s">
        <v>1046</v>
      </c>
      <c r="E201" t="s">
        <v>1133</v>
      </c>
      <c r="F201" t="s">
        <v>1301</v>
      </c>
      <c r="G201" s="7">
        <v>500</v>
      </c>
      <c r="H201" t="str">
        <f t="shared" si="19"/>
        <v>Z</v>
      </c>
      <c r="I201" s="1">
        <v>2059218</v>
      </c>
      <c r="J201" s="1">
        <v>113936</v>
      </c>
      <c r="K201" s="1">
        <v>113188</v>
      </c>
      <c r="L201" s="1">
        <v>90117</v>
      </c>
      <c r="M201" s="1">
        <v>38175</v>
      </c>
      <c r="N201" s="1">
        <v>48128</v>
      </c>
      <c r="O201" s="2">
        <f t="shared" si="15"/>
        <v>2.337197907166701E-2</v>
      </c>
      <c r="P201">
        <f t="shared" si="16"/>
        <v>0</v>
      </c>
      <c r="Q201" s="1">
        <v>5481</v>
      </c>
      <c r="R201" s="1">
        <v>218598</v>
      </c>
      <c r="S201" s="1">
        <v>579125</v>
      </c>
      <c r="T201" s="1">
        <v>180655</v>
      </c>
      <c r="U201" s="1">
        <v>398470</v>
      </c>
      <c r="V201" s="1">
        <v>252465</v>
      </c>
      <c r="W201" s="1">
        <v>326660</v>
      </c>
      <c r="X201" s="1">
        <v>3162458</v>
      </c>
      <c r="Y201" s="1">
        <v>149399</v>
      </c>
      <c r="Z201" s="1">
        <v>155355</v>
      </c>
      <c r="AA201" s="1">
        <v>123928</v>
      </c>
      <c r="AB201" s="1">
        <v>32680</v>
      </c>
      <c r="AC201" s="1">
        <v>34578</v>
      </c>
      <c r="AD201" s="2">
        <f t="shared" si="17"/>
        <v>1.0933900149820172E-2</v>
      </c>
      <c r="AE201">
        <f t="shared" si="18"/>
        <v>0</v>
      </c>
      <c r="AF201" s="1">
        <v>3579</v>
      </c>
      <c r="AG201" s="1">
        <v>274445</v>
      </c>
      <c r="AH201" s="1">
        <v>710404</v>
      </c>
      <c r="AI201" s="1">
        <v>215719</v>
      </c>
      <c r="AJ201" s="1">
        <v>494685</v>
      </c>
      <c r="AK201" s="1">
        <v>268216</v>
      </c>
      <c r="AL201" s="1">
        <v>442188</v>
      </c>
    </row>
    <row r="202" spans="1:38" x14ac:dyDescent="0.2">
      <c r="A202">
        <v>227</v>
      </c>
      <c r="B202" t="s">
        <v>461</v>
      </c>
      <c r="C202" t="s">
        <v>917</v>
      </c>
      <c r="D202" t="s">
        <v>1011</v>
      </c>
      <c r="E202" t="s">
        <v>1174</v>
      </c>
      <c r="F202" t="s">
        <v>1309</v>
      </c>
      <c r="G202" s="7">
        <v>500</v>
      </c>
      <c r="H202" t="str">
        <f t="shared" si="19"/>
        <v>Z</v>
      </c>
      <c r="I202" s="1">
        <v>957335.72600000002</v>
      </c>
      <c r="J202" s="1">
        <v>11531.796</v>
      </c>
      <c r="K202" s="1">
        <v>176233.75700000001</v>
      </c>
      <c r="L202" s="1">
        <v>156573.82399999999</v>
      </c>
      <c r="M202" s="1">
        <v>23124.915000000001</v>
      </c>
      <c r="N202" s="1">
        <v>268054.00328</v>
      </c>
      <c r="O202" s="2">
        <f t="shared" si="15"/>
        <v>0.27999999999999997</v>
      </c>
      <c r="P202">
        <f t="shared" si="16"/>
        <v>0</v>
      </c>
      <c r="Q202" s="1">
        <v>8737</v>
      </c>
      <c r="R202" s="1">
        <v>270340.33</v>
      </c>
      <c r="S202" s="1">
        <v>519546.30599999998</v>
      </c>
      <c r="T202" s="1">
        <v>89896.014999999999</v>
      </c>
      <c r="U202" s="1">
        <v>429650.29100000003</v>
      </c>
      <c r="V202" s="1">
        <v>162958.42499999999</v>
      </c>
      <c r="W202" s="1">
        <v>356587.88099999999</v>
      </c>
      <c r="X202" s="1">
        <v>1135574.1200000001</v>
      </c>
      <c r="Y202" s="1">
        <v>96451.557000000001</v>
      </c>
      <c r="Z202" s="1">
        <v>97678.815000000002</v>
      </c>
      <c r="AA202" s="1">
        <v>98794.274000000005</v>
      </c>
      <c r="AB202" s="1">
        <v>6961.9409999999998</v>
      </c>
      <c r="AC202" s="1">
        <v>507409</v>
      </c>
      <c r="AD202" s="2">
        <f t="shared" si="17"/>
        <v>0.44683036629964756</v>
      </c>
      <c r="AE202">
        <f t="shared" si="18"/>
        <v>0</v>
      </c>
      <c r="AF202" s="1">
        <v>1330</v>
      </c>
      <c r="AG202" s="1">
        <v>489625.136</v>
      </c>
      <c r="AH202" s="1">
        <v>828823.73699999996</v>
      </c>
      <c r="AI202" s="1">
        <v>107929.037</v>
      </c>
      <c r="AJ202" s="1">
        <v>720894.7</v>
      </c>
      <c r="AK202" s="1">
        <v>272423.20600000001</v>
      </c>
      <c r="AL202" s="1">
        <v>556400.53099999996</v>
      </c>
    </row>
    <row r="203" spans="1:38" x14ac:dyDescent="0.2">
      <c r="A203">
        <v>228</v>
      </c>
      <c r="B203" t="s">
        <v>287</v>
      </c>
      <c r="C203" t="s">
        <v>743</v>
      </c>
      <c r="D203" t="s">
        <v>1016</v>
      </c>
      <c r="E203" t="s">
        <v>1179</v>
      </c>
      <c r="F203" t="s">
        <v>1306</v>
      </c>
      <c r="G203" s="7">
        <v>540</v>
      </c>
      <c r="H203" t="str">
        <f t="shared" si="19"/>
        <v>Z</v>
      </c>
      <c r="I203" s="1">
        <v>2056055</v>
      </c>
      <c r="J203" s="1">
        <v>119747</v>
      </c>
      <c r="K203" s="1">
        <v>122023</v>
      </c>
      <c r="L203" s="1">
        <v>112739</v>
      </c>
      <c r="M203" s="1">
        <v>92849</v>
      </c>
      <c r="N203" s="1">
        <v>1842429</v>
      </c>
      <c r="O203" s="2">
        <f t="shared" si="15"/>
        <v>0.89609908295254748</v>
      </c>
      <c r="P203">
        <f t="shared" si="16"/>
        <v>1</v>
      </c>
      <c r="Q203" s="1">
        <v>3063</v>
      </c>
      <c r="R203" s="1">
        <v>271294</v>
      </c>
      <c r="S203" s="1">
        <v>1751030</v>
      </c>
      <c r="T203" s="1">
        <v>800066</v>
      </c>
      <c r="U203" s="1">
        <v>950964</v>
      </c>
      <c r="V203" s="1">
        <v>1157634</v>
      </c>
      <c r="W203" s="1">
        <v>593396</v>
      </c>
      <c r="X203" s="1">
        <v>2518829</v>
      </c>
      <c r="Y203" s="1">
        <v>58268</v>
      </c>
      <c r="Z203" s="1">
        <v>98177</v>
      </c>
      <c r="AA203" s="1">
        <v>77756</v>
      </c>
      <c r="AB203" s="1">
        <v>94839</v>
      </c>
      <c r="AC203" s="1">
        <v>2260646</v>
      </c>
      <c r="AD203" s="2">
        <f t="shared" si="17"/>
        <v>0.89749879805258714</v>
      </c>
      <c r="AE203">
        <f t="shared" si="18"/>
        <v>1</v>
      </c>
      <c r="AF203" s="1">
        <v>2630</v>
      </c>
      <c r="AG203" s="1">
        <v>393204</v>
      </c>
      <c r="AH203" s="1">
        <v>2319171</v>
      </c>
      <c r="AI203" s="1">
        <v>1014919</v>
      </c>
      <c r="AJ203" s="1">
        <v>1304252</v>
      </c>
      <c r="AK203" s="1">
        <v>1367039</v>
      </c>
      <c r="AL203" s="1">
        <v>952132</v>
      </c>
    </row>
    <row r="204" spans="1:38" x14ac:dyDescent="0.2">
      <c r="A204">
        <v>229</v>
      </c>
      <c r="B204" t="s">
        <v>367</v>
      </c>
      <c r="C204" t="s">
        <v>824</v>
      </c>
      <c r="D204" t="s">
        <v>1087</v>
      </c>
      <c r="E204" t="s">
        <v>1261</v>
      </c>
      <c r="F204" t="s">
        <v>1294</v>
      </c>
      <c r="G204" s="7">
        <v>400</v>
      </c>
      <c r="H204" t="str">
        <f t="shared" si="19"/>
        <v>K</v>
      </c>
      <c r="I204" s="1">
        <v>2049865</v>
      </c>
      <c r="J204" s="1">
        <v>36277</v>
      </c>
      <c r="K204" s="1">
        <v>98172</v>
      </c>
      <c r="L204" s="1">
        <v>53113</v>
      </c>
      <c r="M204" s="1">
        <v>189209</v>
      </c>
      <c r="N204" s="1">
        <v>1155192</v>
      </c>
      <c r="O204" s="2">
        <f t="shared" si="15"/>
        <v>0.56354540420954546</v>
      </c>
      <c r="P204">
        <f t="shared" si="16"/>
        <v>1</v>
      </c>
      <c r="Q204" s="1">
        <v>7895</v>
      </c>
      <c r="R204" s="1">
        <v>442272</v>
      </c>
      <c r="S204" s="1">
        <v>2773445</v>
      </c>
      <c r="T204" s="1">
        <v>1681290</v>
      </c>
      <c r="U204" s="1">
        <v>1092155</v>
      </c>
      <c r="V204" s="1">
        <v>1248682</v>
      </c>
      <c r="W204" s="1">
        <v>1524793</v>
      </c>
      <c r="X204" s="1">
        <v>1825961</v>
      </c>
      <c r="Y204" s="1">
        <v>135574</v>
      </c>
      <c r="Z204" s="1">
        <v>-187422</v>
      </c>
      <c r="AA204" s="1">
        <v>-225649</v>
      </c>
      <c r="AB204" s="1">
        <v>153091</v>
      </c>
      <c r="AC204" s="1">
        <v>1082365</v>
      </c>
      <c r="AD204" s="2">
        <f t="shared" si="17"/>
        <v>0.59276457711856934</v>
      </c>
      <c r="AE204">
        <f t="shared" si="18"/>
        <v>1</v>
      </c>
      <c r="AF204" s="1">
        <v>4409</v>
      </c>
      <c r="AG204" s="1">
        <v>370026</v>
      </c>
      <c r="AH204" s="1">
        <v>2354255</v>
      </c>
      <c r="AI204" s="1">
        <v>1456890</v>
      </c>
      <c r="AJ204" s="1">
        <v>897365</v>
      </c>
      <c r="AK204" s="1">
        <v>782215</v>
      </c>
      <c r="AL204" s="1">
        <v>1572040</v>
      </c>
    </row>
    <row r="205" spans="1:38" x14ac:dyDescent="0.2">
      <c r="A205">
        <v>230</v>
      </c>
      <c r="B205" t="s">
        <v>483</v>
      </c>
      <c r="C205" t="s">
        <v>939</v>
      </c>
      <c r="D205" t="s">
        <v>993</v>
      </c>
      <c r="E205" t="s">
        <v>1153</v>
      </c>
      <c r="F205" t="s">
        <v>1306</v>
      </c>
      <c r="G205" s="7">
        <v>500</v>
      </c>
      <c r="H205" t="str">
        <f t="shared" si="19"/>
        <v>Z</v>
      </c>
      <c r="I205" s="1">
        <v>1323152</v>
      </c>
      <c r="J205" s="1">
        <v>11359</v>
      </c>
      <c r="K205" s="1">
        <v>-29981</v>
      </c>
      <c r="L205" s="1">
        <v>-29981</v>
      </c>
      <c r="M205" s="1">
        <v>12921</v>
      </c>
      <c r="N205" s="1">
        <v>1008536</v>
      </c>
      <c r="O205" s="2">
        <f t="shared" si="15"/>
        <v>0.76222232970966297</v>
      </c>
      <c r="P205">
        <f t="shared" si="16"/>
        <v>1</v>
      </c>
      <c r="Q205" s="1">
        <v>758</v>
      </c>
      <c r="R205" s="1">
        <v>86176</v>
      </c>
      <c r="S205" s="1">
        <v>972422</v>
      </c>
      <c r="T205" s="1">
        <v>171083</v>
      </c>
      <c r="U205" s="1">
        <v>801339</v>
      </c>
      <c r="V205" s="1">
        <v>194060</v>
      </c>
      <c r="W205" s="1">
        <v>778363</v>
      </c>
      <c r="X205" s="1">
        <v>732802</v>
      </c>
      <c r="Y205" s="1">
        <v>-10477</v>
      </c>
      <c r="Z205" s="1">
        <v>9857</v>
      </c>
      <c r="AA205" s="1">
        <v>9857</v>
      </c>
      <c r="AB205" s="1">
        <v>5628.7</v>
      </c>
      <c r="AC205" s="1">
        <v>567528</v>
      </c>
      <c r="AD205" s="2">
        <f t="shared" si="17"/>
        <v>0.77446295179325386</v>
      </c>
      <c r="AE205">
        <f t="shared" si="18"/>
        <v>1</v>
      </c>
      <c r="AF205" s="1">
        <v>455</v>
      </c>
      <c r="AG205" s="1">
        <v>44205</v>
      </c>
      <c r="AH205" s="1">
        <v>514567.6</v>
      </c>
      <c r="AI205" s="1">
        <v>138979.6</v>
      </c>
      <c r="AJ205" s="1">
        <v>375588</v>
      </c>
      <c r="AK205" s="1">
        <v>-115659</v>
      </c>
      <c r="AL205" s="1">
        <v>630227</v>
      </c>
    </row>
    <row r="206" spans="1:38" x14ac:dyDescent="0.2">
      <c r="A206">
        <v>231</v>
      </c>
      <c r="B206" t="s">
        <v>331</v>
      </c>
      <c r="C206" t="s">
        <v>788</v>
      </c>
      <c r="D206" t="s">
        <v>51</v>
      </c>
      <c r="E206" t="s">
        <v>1251</v>
      </c>
      <c r="F206" t="s">
        <v>1294</v>
      </c>
      <c r="G206" s="7">
        <v>400</v>
      </c>
      <c r="H206" t="str">
        <f t="shared" si="19"/>
        <v>K</v>
      </c>
      <c r="I206" s="1">
        <v>2041257</v>
      </c>
      <c r="J206" s="1">
        <v>88493</v>
      </c>
      <c r="K206" s="1">
        <v>52108</v>
      </c>
      <c r="L206" s="1">
        <v>47386</v>
      </c>
      <c r="M206" s="1">
        <v>155054</v>
      </c>
      <c r="N206" s="1">
        <v>636568</v>
      </c>
      <c r="O206" s="2">
        <f t="shared" si="15"/>
        <v>0.31185098201745298</v>
      </c>
      <c r="P206">
        <f t="shared" si="16"/>
        <v>0</v>
      </c>
      <c r="Q206" s="1">
        <v>763</v>
      </c>
      <c r="R206" s="1">
        <v>70881.243199999997</v>
      </c>
      <c r="S206" s="1">
        <v>2102113</v>
      </c>
      <c r="T206" s="1">
        <v>1450096</v>
      </c>
      <c r="U206" s="1">
        <v>652017</v>
      </c>
      <c r="V206" s="1">
        <v>816454</v>
      </c>
      <c r="W206" s="1">
        <v>1285658.99762</v>
      </c>
      <c r="X206" s="1">
        <v>2209472.9779699999</v>
      </c>
      <c r="Y206" s="1">
        <v>176420.67163999999</v>
      </c>
      <c r="Z206" s="1">
        <v>144331.20399000001</v>
      </c>
      <c r="AA206" s="1">
        <v>134212.70123000001</v>
      </c>
      <c r="AB206" s="1">
        <v>104239.85922</v>
      </c>
      <c r="AC206" s="1">
        <v>568418</v>
      </c>
      <c r="AD206" s="2">
        <f t="shared" si="17"/>
        <v>0.2572640650813689</v>
      </c>
      <c r="AE206">
        <f t="shared" si="18"/>
        <v>0</v>
      </c>
      <c r="AF206" s="1">
        <v>749</v>
      </c>
      <c r="AG206" s="1">
        <v>105806.83884</v>
      </c>
      <c r="AH206" s="1">
        <v>2654212.0926899998</v>
      </c>
      <c r="AI206" s="1">
        <v>1837503.07127</v>
      </c>
      <c r="AJ206" s="1">
        <v>816709.02142</v>
      </c>
      <c r="AK206" s="1">
        <v>773719.24473999999</v>
      </c>
      <c r="AL206" s="1">
        <v>1880492.8479500001</v>
      </c>
    </row>
    <row r="207" spans="1:38" x14ac:dyDescent="0.2">
      <c r="A207">
        <v>232</v>
      </c>
      <c r="B207" t="s">
        <v>173</v>
      </c>
      <c r="C207" t="s">
        <v>629</v>
      </c>
      <c r="D207" t="s">
        <v>992</v>
      </c>
      <c r="E207" t="s">
        <v>1152</v>
      </c>
      <c r="F207" t="s">
        <v>1307</v>
      </c>
      <c r="G207" s="7">
        <v>400</v>
      </c>
      <c r="H207" t="str">
        <f t="shared" si="19"/>
        <v>K</v>
      </c>
      <c r="I207" s="1">
        <v>2033268</v>
      </c>
      <c r="J207" s="1">
        <v>25355</v>
      </c>
      <c r="K207" s="1">
        <v>42813</v>
      </c>
      <c r="L207" s="1">
        <v>34717</v>
      </c>
      <c r="M207" s="1">
        <v>1454</v>
      </c>
      <c r="N207" s="1">
        <v>0</v>
      </c>
      <c r="O207" s="2">
        <f t="shared" si="15"/>
        <v>0</v>
      </c>
      <c r="P207">
        <f t="shared" si="16"/>
        <v>0</v>
      </c>
      <c r="Q207" s="1">
        <v>261</v>
      </c>
      <c r="R207" s="1">
        <v>22401.494640000001</v>
      </c>
      <c r="S207" s="1">
        <v>826032</v>
      </c>
      <c r="T207" s="1">
        <v>66806</v>
      </c>
      <c r="U207" s="1">
        <v>759226</v>
      </c>
      <c r="V207" s="1">
        <v>96804</v>
      </c>
      <c r="W207" s="1">
        <v>729228.40601000004</v>
      </c>
      <c r="X207" s="1">
        <v>4512291</v>
      </c>
      <c r="Y207" s="1">
        <v>90245</v>
      </c>
      <c r="Z207" s="1">
        <v>129908</v>
      </c>
      <c r="AA207" s="1">
        <v>110116</v>
      </c>
      <c r="AB207" s="1">
        <v>2780</v>
      </c>
      <c r="AC207" s="1">
        <v>447971</v>
      </c>
      <c r="AD207" s="2">
        <f t="shared" si="17"/>
        <v>9.9277949937182683E-2</v>
      </c>
      <c r="AE207">
        <f t="shared" si="18"/>
        <v>0</v>
      </c>
      <c r="AF207" s="1">
        <v>313</v>
      </c>
      <c r="AG207" s="1">
        <v>45195</v>
      </c>
      <c r="AH207" s="1">
        <v>1824022</v>
      </c>
      <c r="AI207" s="1">
        <v>186051</v>
      </c>
      <c r="AJ207" s="1">
        <v>1637971</v>
      </c>
      <c r="AK207" s="1">
        <v>301475</v>
      </c>
      <c r="AL207" s="1">
        <v>1522548</v>
      </c>
    </row>
    <row r="208" spans="1:38" x14ac:dyDescent="0.2">
      <c r="A208">
        <v>233</v>
      </c>
      <c r="B208" t="s">
        <v>445</v>
      </c>
      <c r="C208" t="s">
        <v>902</v>
      </c>
      <c r="D208" t="s">
        <v>1106</v>
      </c>
      <c r="E208" t="s">
        <v>1283</v>
      </c>
      <c r="F208" t="s">
        <v>1303</v>
      </c>
      <c r="G208" s="7">
        <v>400</v>
      </c>
      <c r="H208" t="str">
        <f t="shared" si="19"/>
        <v>K</v>
      </c>
      <c r="I208" s="1">
        <v>1312926.7024999999</v>
      </c>
      <c r="J208" s="1">
        <v>108932.93379</v>
      </c>
      <c r="K208" s="1">
        <v>152987.54827</v>
      </c>
      <c r="L208" s="1">
        <v>129128.99927</v>
      </c>
      <c r="M208" s="1">
        <v>92141</v>
      </c>
      <c r="N208" s="1">
        <v>801432</v>
      </c>
      <c r="O208" s="2">
        <f t="shared" si="15"/>
        <v>0.6104164066995964</v>
      </c>
      <c r="P208">
        <f t="shared" si="16"/>
        <v>1</v>
      </c>
      <c r="Q208" s="1">
        <v>3369</v>
      </c>
      <c r="R208" s="1">
        <v>370585</v>
      </c>
      <c r="S208" s="1">
        <v>1644016.1003699999</v>
      </c>
      <c r="T208" s="1">
        <v>901822.85612999997</v>
      </c>
      <c r="U208" s="1">
        <v>742193.24424000003</v>
      </c>
      <c r="V208" s="1">
        <v>1078539.3198500001</v>
      </c>
      <c r="W208" s="1">
        <v>565476.78052000003</v>
      </c>
      <c r="X208" s="1">
        <v>1313367.05923</v>
      </c>
      <c r="Y208" s="1">
        <v>-2170.2457300000001</v>
      </c>
      <c r="Z208" s="1">
        <v>8951.5853399999996</v>
      </c>
      <c r="AA208" s="1">
        <v>5281.06934</v>
      </c>
      <c r="AB208" s="1">
        <v>66602</v>
      </c>
      <c r="AC208" s="1">
        <v>472257</v>
      </c>
      <c r="AD208" s="2">
        <f t="shared" si="17"/>
        <v>0.3595773144157236</v>
      </c>
      <c r="AE208">
        <f t="shared" si="18"/>
        <v>0</v>
      </c>
      <c r="AF208" s="1">
        <v>917</v>
      </c>
      <c r="AG208" s="1">
        <v>134198</v>
      </c>
      <c r="AH208" s="1">
        <v>1570061.08767</v>
      </c>
      <c r="AI208" s="1">
        <v>861116.53489000001</v>
      </c>
      <c r="AJ208" s="1">
        <v>708944.55278000003</v>
      </c>
      <c r="AK208" s="1">
        <v>1100774.2981499999</v>
      </c>
      <c r="AL208" s="1">
        <v>469286.78951999999</v>
      </c>
    </row>
    <row r="209" spans="1:38" x14ac:dyDescent="0.2">
      <c r="A209">
        <v>234</v>
      </c>
      <c r="B209" t="s">
        <v>276</v>
      </c>
      <c r="C209" t="s">
        <v>732</v>
      </c>
      <c r="D209" t="s">
        <v>1006</v>
      </c>
      <c r="E209" t="s">
        <v>1168</v>
      </c>
      <c r="F209" t="s">
        <v>1308</v>
      </c>
      <c r="G209" s="7">
        <v>500</v>
      </c>
      <c r="H209" t="str">
        <f t="shared" si="19"/>
        <v>Z</v>
      </c>
      <c r="I209" s="1">
        <v>2013644</v>
      </c>
      <c r="J209" s="1">
        <v>68074</v>
      </c>
      <c r="K209" s="1">
        <v>81503</v>
      </c>
      <c r="L209" s="1">
        <v>58950</v>
      </c>
      <c r="M209" s="1">
        <v>21525</v>
      </c>
      <c r="N209" s="1">
        <v>341</v>
      </c>
      <c r="O209" s="2">
        <f t="shared" si="15"/>
        <v>1.6934473025023291E-4</v>
      </c>
      <c r="P209">
        <f t="shared" si="16"/>
        <v>0</v>
      </c>
      <c r="Q209" s="1">
        <v>1155</v>
      </c>
      <c r="R209" s="1">
        <v>93516</v>
      </c>
      <c r="S209" s="1">
        <v>1049216</v>
      </c>
      <c r="T209" s="1">
        <v>108164</v>
      </c>
      <c r="U209" s="1">
        <v>941052</v>
      </c>
      <c r="V209" s="1">
        <v>734958</v>
      </c>
      <c r="W209" s="1">
        <v>314258</v>
      </c>
      <c r="X209" s="1">
        <v>2681232</v>
      </c>
      <c r="Y209" s="1">
        <v>63651</v>
      </c>
      <c r="Z209" s="1">
        <v>119905</v>
      </c>
      <c r="AA209" s="1">
        <v>98253</v>
      </c>
      <c r="AB209" s="1">
        <v>19553</v>
      </c>
      <c r="AC209" s="1">
        <v>162</v>
      </c>
      <c r="AD209" s="2">
        <f t="shared" si="17"/>
        <v>6.0419986036269892E-5</v>
      </c>
      <c r="AE209">
        <f t="shared" si="18"/>
        <v>0</v>
      </c>
      <c r="AF209" s="1">
        <v>531</v>
      </c>
      <c r="AG209" s="1">
        <v>224109</v>
      </c>
      <c r="AH209" s="1">
        <v>1351006</v>
      </c>
      <c r="AI209" s="1">
        <v>133302</v>
      </c>
      <c r="AJ209" s="1">
        <v>1217704</v>
      </c>
      <c r="AK209" s="1">
        <v>774261</v>
      </c>
      <c r="AL209" s="1">
        <v>576745</v>
      </c>
    </row>
    <row r="210" spans="1:38" x14ac:dyDescent="0.2">
      <c r="A210">
        <v>235</v>
      </c>
      <c r="B210" t="s">
        <v>381</v>
      </c>
      <c r="C210" t="s">
        <v>838</v>
      </c>
      <c r="D210" t="s">
        <v>1006</v>
      </c>
      <c r="E210" t="s">
        <v>1168</v>
      </c>
      <c r="F210" t="s">
        <v>1304</v>
      </c>
      <c r="G210" s="7">
        <v>500</v>
      </c>
      <c r="H210" t="str">
        <f t="shared" si="19"/>
        <v>Z</v>
      </c>
      <c r="I210" s="1">
        <v>1983541</v>
      </c>
      <c r="J210" s="1">
        <v>-13659</v>
      </c>
      <c r="K210" s="1">
        <v>-16381</v>
      </c>
      <c r="L210" s="1">
        <v>-15212</v>
      </c>
      <c r="M210" s="1">
        <v>14524</v>
      </c>
      <c r="N210" s="1">
        <v>0</v>
      </c>
      <c r="O210" s="2">
        <f t="shared" si="15"/>
        <v>0</v>
      </c>
      <c r="P210">
        <f t="shared" si="16"/>
        <v>0</v>
      </c>
      <c r="Q210" s="1">
        <v>997</v>
      </c>
      <c r="R210" s="1">
        <v>84715</v>
      </c>
      <c r="S210" s="1">
        <v>588538</v>
      </c>
      <c r="T210" s="1">
        <v>146453</v>
      </c>
      <c r="U210" s="1">
        <v>441476</v>
      </c>
      <c r="V210" s="1">
        <v>96724</v>
      </c>
      <c r="W210" s="1">
        <v>491814</v>
      </c>
      <c r="X210" s="1">
        <v>1718262</v>
      </c>
      <c r="Y210" s="1">
        <v>16951</v>
      </c>
      <c r="Z210" s="1">
        <v>16225</v>
      </c>
      <c r="AA210" s="1">
        <v>12433</v>
      </c>
      <c r="AB210" s="1">
        <v>19354</v>
      </c>
      <c r="AC210" s="1">
        <v>0</v>
      </c>
      <c r="AD210" s="2">
        <f t="shared" si="17"/>
        <v>0</v>
      </c>
      <c r="AE210">
        <f t="shared" si="18"/>
        <v>0</v>
      </c>
      <c r="AF210" s="1">
        <v>819</v>
      </c>
      <c r="AG210" s="1">
        <v>67136</v>
      </c>
      <c r="AH210" s="1">
        <v>445624</v>
      </c>
      <c r="AI210" s="1">
        <v>151007</v>
      </c>
      <c r="AJ210" s="1">
        <v>294617</v>
      </c>
      <c r="AK210" s="1">
        <v>67402</v>
      </c>
      <c r="AL210" s="1">
        <v>378222</v>
      </c>
    </row>
    <row r="211" spans="1:38" x14ac:dyDescent="0.2">
      <c r="A211">
        <v>236</v>
      </c>
      <c r="B211" t="s">
        <v>376</v>
      </c>
      <c r="C211" t="s">
        <v>833</v>
      </c>
      <c r="D211" t="s">
        <v>982</v>
      </c>
      <c r="E211" t="s">
        <v>1146</v>
      </c>
      <c r="F211" t="s">
        <v>1300</v>
      </c>
      <c r="G211" s="7">
        <v>400</v>
      </c>
      <c r="H211" t="str">
        <f t="shared" si="19"/>
        <v>K</v>
      </c>
      <c r="I211" s="1">
        <v>1992291</v>
      </c>
      <c r="J211" s="1">
        <v>12208</v>
      </c>
      <c r="K211" s="1">
        <v>1821.5</v>
      </c>
      <c r="L211" s="1">
        <v>1425</v>
      </c>
      <c r="M211" s="1">
        <v>1631</v>
      </c>
      <c r="N211" s="1">
        <v>0</v>
      </c>
      <c r="O211" s="2">
        <f t="shared" si="15"/>
        <v>0</v>
      </c>
      <c r="P211">
        <f t="shared" si="16"/>
        <v>0</v>
      </c>
      <c r="Q211" s="1">
        <v>16.399999999999999</v>
      </c>
      <c r="R211" s="1">
        <v>5179</v>
      </c>
      <c r="S211" s="1">
        <v>171826</v>
      </c>
      <c r="T211" s="1">
        <v>28491</v>
      </c>
      <c r="U211" s="1">
        <v>143335</v>
      </c>
      <c r="V211" s="1">
        <v>45303</v>
      </c>
      <c r="W211" s="1">
        <v>126112</v>
      </c>
      <c r="X211" s="1">
        <v>1737096.0978600001</v>
      </c>
      <c r="Y211" s="1">
        <v>359.73818</v>
      </c>
      <c r="Z211" s="1">
        <v>3474.9350399999998</v>
      </c>
      <c r="AA211" s="1">
        <v>3221.9430400000001</v>
      </c>
      <c r="AB211" s="1">
        <v>1369.4183800000001</v>
      </c>
      <c r="AC211" s="1">
        <v>314097</v>
      </c>
      <c r="AD211" s="2">
        <f t="shared" si="17"/>
        <v>0.18081728488536067</v>
      </c>
      <c r="AE211">
        <f t="shared" si="18"/>
        <v>0</v>
      </c>
      <c r="AF211" s="1">
        <v>33</v>
      </c>
      <c r="AG211" s="1">
        <v>9231.5484799999995</v>
      </c>
      <c r="AH211" s="1">
        <v>133304.92111</v>
      </c>
      <c r="AI211" s="1">
        <v>22052.4444</v>
      </c>
      <c r="AJ211" s="1">
        <v>111252.47671</v>
      </c>
      <c r="AK211" s="1">
        <v>72622.230169999995</v>
      </c>
      <c r="AL211" s="1">
        <v>60682.69094</v>
      </c>
    </row>
    <row r="212" spans="1:38" x14ac:dyDescent="0.2">
      <c r="A212">
        <v>237</v>
      </c>
      <c r="B212" t="s">
        <v>310</v>
      </c>
      <c r="C212" t="s">
        <v>766</v>
      </c>
      <c r="D212" t="s">
        <v>1036</v>
      </c>
      <c r="E212" t="s">
        <v>1210</v>
      </c>
      <c r="F212" t="s">
        <v>1305</v>
      </c>
      <c r="G212" s="7">
        <v>500</v>
      </c>
      <c r="H212" t="str">
        <f t="shared" si="19"/>
        <v>Z</v>
      </c>
      <c r="I212" s="1">
        <v>1985253</v>
      </c>
      <c r="J212" s="1">
        <v>92252</v>
      </c>
      <c r="K212" s="1">
        <v>93710</v>
      </c>
      <c r="L212" s="1">
        <v>87580</v>
      </c>
      <c r="M212" s="1">
        <v>22571</v>
      </c>
      <c r="N212" s="1">
        <v>1944977</v>
      </c>
      <c r="O212" s="2">
        <f t="shared" si="15"/>
        <v>0.97971240945108762</v>
      </c>
      <c r="P212">
        <f t="shared" si="16"/>
        <v>1</v>
      </c>
      <c r="Q212" s="1">
        <v>672</v>
      </c>
      <c r="R212" s="1">
        <v>32093</v>
      </c>
      <c r="S212" s="1">
        <v>653755</v>
      </c>
      <c r="T212" s="1">
        <v>192330</v>
      </c>
      <c r="U212" s="1">
        <v>461425</v>
      </c>
      <c r="V212" s="1">
        <v>284715</v>
      </c>
      <c r="W212" s="1">
        <v>369039.87177999999</v>
      </c>
      <c r="X212" s="1">
        <v>2349726.33629</v>
      </c>
      <c r="Y212" s="1">
        <v>112112.6995</v>
      </c>
      <c r="Z212" s="1">
        <v>137097.80489999999</v>
      </c>
      <c r="AA212" s="1">
        <v>120468.86289999999</v>
      </c>
      <c r="AB212" s="1">
        <v>25293</v>
      </c>
      <c r="AC212" s="1">
        <v>2309147</v>
      </c>
      <c r="AD212" s="2">
        <f t="shared" si="17"/>
        <v>0.98273018620795172</v>
      </c>
      <c r="AE212">
        <f t="shared" si="18"/>
        <v>1</v>
      </c>
      <c r="AF212" s="1">
        <v>703</v>
      </c>
      <c r="AG212" s="1">
        <v>77965</v>
      </c>
      <c r="AH212" s="1">
        <v>1206756.1231500001</v>
      </c>
      <c r="AI212" s="1">
        <v>119355.8178</v>
      </c>
      <c r="AJ212" s="1">
        <v>1087400.30535</v>
      </c>
      <c r="AK212" s="1">
        <v>644858.58360000001</v>
      </c>
      <c r="AL212" s="1">
        <v>561897.53954999999</v>
      </c>
    </row>
    <row r="213" spans="1:38" x14ac:dyDescent="0.2">
      <c r="A213">
        <v>238</v>
      </c>
      <c r="B213" t="s">
        <v>313</v>
      </c>
      <c r="C213" t="s">
        <v>769</v>
      </c>
      <c r="D213" t="s">
        <v>994</v>
      </c>
      <c r="E213" t="s">
        <v>1139</v>
      </c>
      <c r="F213" t="s">
        <v>1300</v>
      </c>
      <c r="G213" s="7">
        <v>500</v>
      </c>
      <c r="H213" t="str">
        <f t="shared" si="19"/>
        <v>Z</v>
      </c>
      <c r="I213" s="1">
        <v>1982985</v>
      </c>
      <c r="J213" s="1">
        <v>49513</v>
      </c>
      <c r="K213" s="1">
        <v>44746</v>
      </c>
      <c r="L213" s="1">
        <v>35794</v>
      </c>
      <c r="M213" s="1">
        <v>22692</v>
      </c>
      <c r="N213" s="1">
        <v>0</v>
      </c>
      <c r="O213" s="2">
        <f t="shared" si="15"/>
        <v>0</v>
      </c>
      <c r="P213">
        <f t="shared" si="16"/>
        <v>0</v>
      </c>
      <c r="Q213" s="1">
        <v>71</v>
      </c>
      <c r="R213" s="1">
        <v>13943</v>
      </c>
      <c r="S213" s="1">
        <v>448887</v>
      </c>
      <c r="T213" s="1">
        <v>325118</v>
      </c>
      <c r="U213" s="1">
        <v>123769</v>
      </c>
      <c r="V213" s="1">
        <v>129376</v>
      </c>
      <c r="W213" s="1">
        <v>319511</v>
      </c>
      <c r="X213" s="1">
        <v>2315158.2000000002</v>
      </c>
      <c r="Y213" s="1">
        <v>31175.3</v>
      </c>
      <c r="Z213" s="1">
        <v>25510.799999999999</v>
      </c>
      <c r="AA213" s="1">
        <v>19559.400000000001</v>
      </c>
      <c r="AB213" s="1">
        <v>20493</v>
      </c>
      <c r="AC213" s="1">
        <v>0</v>
      </c>
      <c r="AD213" s="2">
        <f t="shared" si="17"/>
        <v>0</v>
      </c>
      <c r="AE213">
        <f t="shared" si="18"/>
        <v>0</v>
      </c>
      <c r="AF213" s="1">
        <v>73</v>
      </c>
      <c r="AG213" s="1">
        <v>17891</v>
      </c>
      <c r="AH213" s="1">
        <v>511981</v>
      </c>
      <c r="AI213" s="1">
        <v>350099</v>
      </c>
      <c r="AJ213" s="1">
        <v>161882</v>
      </c>
      <c r="AK213" s="1">
        <v>256803</v>
      </c>
      <c r="AL213" s="1">
        <v>255178</v>
      </c>
    </row>
    <row r="214" spans="1:38" x14ac:dyDescent="0.2">
      <c r="A214">
        <v>239</v>
      </c>
      <c r="B214" t="s">
        <v>133</v>
      </c>
      <c r="C214" t="s">
        <v>589</v>
      </c>
      <c r="D214" t="s">
        <v>1006</v>
      </c>
      <c r="E214" t="s">
        <v>1168</v>
      </c>
      <c r="F214" t="s">
        <v>1304</v>
      </c>
      <c r="G214" s="7">
        <v>400</v>
      </c>
      <c r="H214" t="str">
        <f t="shared" si="19"/>
        <v>K</v>
      </c>
      <c r="I214" s="1">
        <v>5325647</v>
      </c>
      <c r="J214" s="1">
        <v>234532</v>
      </c>
      <c r="K214" s="1">
        <v>114184</v>
      </c>
      <c r="L214" s="1">
        <v>81451</v>
      </c>
      <c r="M214" s="1">
        <v>30300</v>
      </c>
      <c r="N214" s="1">
        <v>131863</v>
      </c>
      <c r="O214" s="2">
        <f t="shared" si="15"/>
        <v>2.4759996297163519E-2</v>
      </c>
      <c r="P214">
        <f t="shared" si="16"/>
        <v>0</v>
      </c>
      <c r="Q214" s="1">
        <v>1346</v>
      </c>
      <c r="R214" s="1">
        <v>136652</v>
      </c>
      <c r="S214" s="1">
        <v>3919656</v>
      </c>
      <c r="T214" s="1">
        <v>1793816</v>
      </c>
      <c r="U214" s="1">
        <v>2125840</v>
      </c>
      <c r="V214" s="1">
        <v>615684</v>
      </c>
      <c r="W214" s="1">
        <v>3303972</v>
      </c>
      <c r="X214" s="1">
        <v>6921636.4695200007</v>
      </c>
      <c r="Y214" s="1">
        <v>576731.70603</v>
      </c>
      <c r="Z214" s="1">
        <v>553555.10216999997</v>
      </c>
      <c r="AA214" s="1">
        <v>430528.16651000001</v>
      </c>
      <c r="AB214" s="1">
        <v>27773.17</v>
      </c>
      <c r="AC214" s="1">
        <v>365506</v>
      </c>
      <c r="AD214" s="2">
        <f t="shared" si="17"/>
        <v>5.2806298280693581E-2</v>
      </c>
      <c r="AE214">
        <f t="shared" si="18"/>
        <v>0</v>
      </c>
      <c r="AF214" s="1">
        <v>1183</v>
      </c>
      <c r="AG214" s="1">
        <v>145706.08144000001</v>
      </c>
      <c r="AH214" s="1">
        <v>3224381.0074800001</v>
      </c>
      <c r="AI214" s="1">
        <v>803498.27133999998</v>
      </c>
      <c r="AJ214" s="1">
        <v>2420882.7361400002</v>
      </c>
      <c r="AK214" s="1">
        <v>1493758.09723</v>
      </c>
      <c r="AL214" s="1">
        <v>1730622.91025</v>
      </c>
    </row>
    <row r="215" spans="1:38" x14ac:dyDescent="0.2">
      <c r="A215">
        <v>240</v>
      </c>
      <c r="B215" t="s">
        <v>335</v>
      </c>
      <c r="C215" t="s">
        <v>792</v>
      </c>
      <c r="D215" t="s">
        <v>1077</v>
      </c>
      <c r="E215" t="s">
        <v>1253</v>
      </c>
      <c r="F215" t="s">
        <v>1301</v>
      </c>
      <c r="G215" s="7">
        <v>400</v>
      </c>
      <c r="H215" t="str">
        <f t="shared" si="19"/>
        <v>K</v>
      </c>
      <c r="I215" s="1">
        <v>1976734.14509</v>
      </c>
      <c r="J215" s="1">
        <v>7040.7596199999998</v>
      </c>
      <c r="K215" s="1">
        <v>6728.0983799999995</v>
      </c>
      <c r="L215" s="1">
        <v>5051.1697700000004</v>
      </c>
      <c r="M215" s="1">
        <v>10223.795389999999</v>
      </c>
      <c r="N215" s="1">
        <v>151</v>
      </c>
      <c r="O215" s="2">
        <f t="shared" si="15"/>
        <v>7.6388623313392004E-5</v>
      </c>
      <c r="P215">
        <f t="shared" si="16"/>
        <v>0</v>
      </c>
      <c r="Q215" s="1">
        <v>300</v>
      </c>
      <c r="R215" s="1">
        <v>21738.889599999999</v>
      </c>
      <c r="S215" s="1">
        <v>401178.40435000003</v>
      </c>
      <c r="T215" s="1">
        <v>117361.99047999999</v>
      </c>
      <c r="U215" s="1">
        <v>283816.41386999999</v>
      </c>
      <c r="V215" s="1">
        <v>103691.0883</v>
      </c>
      <c r="W215" s="1">
        <v>297487.31605000002</v>
      </c>
      <c r="X215" s="1">
        <v>2188835</v>
      </c>
      <c r="Y215" s="1">
        <v>20193</v>
      </c>
      <c r="Z215" s="1">
        <v>15222</v>
      </c>
      <c r="AA215" s="1">
        <v>12182</v>
      </c>
      <c r="AB215" s="1">
        <v>16331</v>
      </c>
      <c r="AC215" s="1">
        <v>0</v>
      </c>
      <c r="AD215" s="2">
        <f t="shared" si="17"/>
        <v>0</v>
      </c>
      <c r="AE215">
        <f t="shared" si="18"/>
        <v>0</v>
      </c>
      <c r="AF215" s="1">
        <v>486</v>
      </c>
      <c r="AG215" s="1">
        <v>53416</v>
      </c>
      <c r="AH215" s="1">
        <v>439737</v>
      </c>
      <c r="AI215" s="1">
        <v>121679</v>
      </c>
      <c r="AJ215" s="1">
        <v>318058</v>
      </c>
      <c r="AK215" s="1">
        <v>144563</v>
      </c>
      <c r="AL215" s="1">
        <v>295174</v>
      </c>
    </row>
    <row r="216" spans="1:38" x14ac:dyDescent="0.2">
      <c r="A216">
        <v>241</v>
      </c>
      <c r="B216" t="s">
        <v>347</v>
      </c>
      <c r="C216" t="s">
        <v>804</v>
      </c>
      <c r="D216" t="s">
        <v>1036</v>
      </c>
      <c r="E216" t="s">
        <v>1210</v>
      </c>
      <c r="F216" t="s">
        <v>1305</v>
      </c>
      <c r="G216" s="7">
        <v>500</v>
      </c>
      <c r="H216" t="str">
        <f t="shared" si="19"/>
        <v>Z</v>
      </c>
      <c r="I216" s="1">
        <v>1968662</v>
      </c>
      <c r="J216" s="1">
        <v>-65269</v>
      </c>
      <c r="K216" s="1">
        <v>-68194</v>
      </c>
      <c r="L216" s="1">
        <v>-69017</v>
      </c>
      <c r="M216" s="1">
        <v>111086</v>
      </c>
      <c r="N216" s="1">
        <v>1920765</v>
      </c>
      <c r="O216" s="2">
        <f t="shared" si="15"/>
        <v>0.97567027757939151</v>
      </c>
      <c r="P216">
        <f t="shared" si="16"/>
        <v>1</v>
      </c>
      <c r="Q216" s="1">
        <v>3398</v>
      </c>
      <c r="R216" s="1">
        <v>234322</v>
      </c>
      <c r="S216" s="1">
        <v>1089842</v>
      </c>
      <c r="T216" s="1">
        <v>557393</v>
      </c>
      <c r="U216" s="1">
        <v>532449</v>
      </c>
      <c r="V216" s="1">
        <v>383125</v>
      </c>
      <c r="W216" s="1">
        <v>706717.27865999995</v>
      </c>
      <c r="X216" s="1">
        <v>2056645.6186299999</v>
      </c>
      <c r="Y216" s="1">
        <v>70888.719209999996</v>
      </c>
      <c r="Z216" s="1">
        <v>52488.240520000007</v>
      </c>
      <c r="AA216" s="1">
        <v>56522.147520000013</v>
      </c>
      <c r="AB216" s="1">
        <v>115519</v>
      </c>
      <c r="AC216" s="1">
        <v>1945589.6186299999</v>
      </c>
      <c r="AD216" s="2">
        <f t="shared" si="17"/>
        <v>0.9460013922700119</v>
      </c>
      <c r="AE216">
        <f t="shared" si="18"/>
        <v>1</v>
      </c>
      <c r="AF216" s="1">
        <v>2508</v>
      </c>
      <c r="AG216" s="1">
        <v>269943</v>
      </c>
      <c r="AH216" s="1">
        <v>1091622.52407</v>
      </c>
      <c r="AI216" s="1">
        <v>471331.05505999998</v>
      </c>
      <c r="AJ216" s="1">
        <v>620291.46901</v>
      </c>
      <c r="AK216" s="1">
        <v>203211.19248999999</v>
      </c>
      <c r="AL216" s="1">
        <v>888411.33158</v>
      </c>
    </row>
    <row r="217" spans="1:38" x14ac:dyDescent="0.2">
      <c r="A217">
        <v>242</v>
      </c>
      <c r="B217" t="s">
        <v>358</v>
      </c>
      <c r="C217" t="s">
        <v>815</v>
      </c>
      <c r="D217" t="s">
        <v>1036</v>
      </c>
      <c r="E217" t="s">
        <v>1210</v>
      </c>
      <c r="F217" t="s">
        <v>1305</v>
      </c>
      <c r="G217" s="7">
        <v>500</v>
      </c>
      <c r="H217" t="str">
        <f t="shared" si="19"/>
        <v>Z</v>
      </c>
      <c r="I217" s="1">
        <v>1971377.5434099999</v>
      </c>
      <c r="J217" s="1">
        <v>426811.60762999998</v>
      </c>
      <c r="K217" s="1">
        <v>230529.9069</v>
      </c>
      <c r="L217" s="1">
        <v>203466.5631</v>
      </c>
      <c r="M217" s="1">
        <v>106286.07128</v>
      </c>
      <c r="N217" s="1">
        <v>1929317.17508</v>
      </c>
      <c r="O217" s="2">
        <f t="shared" si="15"/>
        <v>0.97866447831334946</v>
      </c>
      <c r="P217">
        <f t="shared" si="16"/>
        <v>1</v>
      </c>
      <c r="Q217" s="1">
        <v>2901</v>
      </c>
      <c r="R217" s="1">
        <v>227192</v>
      </c>
      <c r="S217" s="1">
        <v>1616291</v>
      </c>
      <c r="T217" s="1">
        <v>995479</v>
      </c>
      <c r="U217" s="1">
        <v>620812</v>
      </c>
      <c r="V217" s="1">
        <v>1280575.3791100001</v>
      </c>
      <c r="W217" s="1">
        <v>291041.24236999999</v>
      </c>
      <c r="X217" s="1">
        <v>1900969.2557099999</v>
      </c>
      <c r="Y217" s="1">
        <v>70432.036340000006</v>
      </c>
      <c r="Z217" s="1">
        <v>97573.325270000001</v>
      </c>
      <c r="AA217" s="1">
        <v>79762.284670000008</v>
      </c>
      <c r="AB217" s="1">
        <v>96052.220209999999</v>
      </c>
      <c r="AC217" s="1">
        <v>1896193.2557099999</v>
      </c>
      <c r="AD217" s="2">
        <f t="shared" si="17"/>
        <v>0.99748759745290239</v>
      </c>
      <c r="AE217">
        <f t="shared" si="18"/>
        <v>1</v>
      </c>
      <c r="AF217" s="1">
        <v>2681</v>
      </c>
      <c r="AG217" s="1">
        <v>257732.99918000001</v>
      </c>
      <c r="AH217" s="1">
        <v>1408556.0857800001</v>
      </c>
      <c r="AI217" s="1">
        <v>706298.04246000003</v>
      </c>
      <c r="AJ217" s="1">
        <v>702258.04332000006</v>
      </c>
      <c r="AK217" s="1">
        <v>1042386.8173</v>
      </c>
      <c r="AL217" s="1">
        <v>366169.26848000003</v>
      </c>
    </row>
    <row r="218" spans="1:38" x14ac:dyDescent="0.2">
      <c r="A218">
        <v>243</v>
      </c>
      <c r="B218" t="s">
        <v>260</v>
      </c>
      <c r="C218" t="s">
        <v>716</v>
      </c>
      <c r="D218" t="s">
        <v>1058</v>
      </c>
      <c r="E218" t="s">
        <v>1231</v>
      </c>
      <c r="F218" t="s">
        <v>1309</v>
      </c>
      <c r="G218" s="7">
        <v>500</v>
      </c>
      <c r="H218" t="str">
        <f t="shared" si="19"/>
        <v>Z</v>
      </c>
      <c r="I218" s="1">
        <v>1966612</v>
      </c>
      <c r="J218" s="1">
        <v>39226</v>
      </c>
      <c r="K218" s="1">
        <v>30609</v>
      </c>
      <c r="L218" s="1">
        <v>25158</v>
      </c>
      <c r="M218" s="1">
        <v>1222</v>
      </c>
      <c r="N218" s="1">
        <v>0</v>
      </c>
      <c r="O218" s="2">
        <f t="shared" si="15"/>
        <v>0</v>
      </c>
      <c r="P218">
        <f t="shared" si="16"/>
        <v>0</v>
      </c>
      <c r="Q218" s="1">
        <v>210</v>
      </c>
      <c r="R218" s="1">
        <v>48880</v>
      </c>
      <c r="S218" s="1">
        <v>930512</v>
      </c>
      <c r="T218" s="1">
        <v>183394</v>
      </c>
      <c r="U218" s="1">
        <v>747118</v>
      </c>
      <c r="V218" s="1">
        <v>90524</v>
      </c>
      <c r="W218" s="1">
        <v>839988</v>
      </c>
      <c r="X218" s="1">
        <v>3392878</v>
      </c>
      <c r="Y218" s="1">
        <v>103297</v>
      </c>
      <c r="Z218" s="1">
        <v>96183</v>
      </c>
      <c r="AA218" s="1">
        <v>88376</v>
      </c>
      <c r="AB218" s="1">
        <v>2823</v>
      </c>
      <c r="AC218" s="1">
        <v>0</v>
      </c>
      <c r="AD218" s="2">
        <f t="shared" si="17"/>
        <v>0</v>
      </c>
      <c r="AE218">
        <f t="shared" si="18"/>
        <v>0</v>
      </c>
      <c r="AF218" s="1">
        <v>362</v>
      </c>
      <c r="AG218" s="1">
        <v>171669</v>
      </c>
      <c r="AH218" s="1">
        <v>1307108</v>
      </c>
      <c r="AI218" s="1">
        <v>483760</v>
      </c>
      <c r="AJ218" s="1">
        <v>823348</v>
      </c>
      <c r="AK218" s="1">
        <v>62879</v>
      </c>
      <c r="AL218" s="1">
        <v>1244229</v>
      </c>
    </row>
    <row r="219" spans="1:38" x14ac:dyDescent="0.2">
      <c r="A219">
        <v>244</v>
      </c>
      <c r="B219" t="s">
        <v>239</v>
      </c>
      <c r="C219" t="s">
        <v>695</v>
      </c>
      <c r="D219" t="s">
        <v>1047</v>
      </c>
      <c r="E219" t="s">
        <v>1163</v>
      </c>
      <c r="F219" t="s">
        <v>1301</v>
      </c>
      <c r="G219" s="7">
        <v>400</v>
      </c>
      <c r="H219" t="str">
        <f t="shared" si="19"/>
        <v>K</v>
      </c>
      <c r="I219" s="1">
        <v>1941068</v>
      </c>
      <c r="J219" s="1">
        <v>71229</v>
      </c>
      <c r="K219" s="1">
        <v>40721</v>
      </c>
      <c r="L219" s="1">
        <v>37959</v>
      </c>
      <c r="M219" s="1">
        <v>158049</v>
      </c>
      <c r="N219" s="1">
        <v>1789</v>
      </c>
      <c r="O219" s="2">
        <f t="shared" si="15"/>
        <v>9.2165756171344842E-4</v>
      </c>
      <c r="P219">
        <f t="shared" si="16"/>
        <v>0</v>
      </c>
      <c r="Q219" s="1">
        <v>2050</v>
      </c>
      <c r="R219" s="1">
        <v>248810</v>
      </c>
      <c r="S219" s="1">
        <v>1940489</v>
      </c>
      <c r="T219" s="1">
        <v>1050340</v>
      </c>
      <c r="U219" s="1">
        <v>890149</v>
      </c>
      <c r="V219" s="1">
        <v>279738</v>
      </c>
      <c r="W219" s="1">
        <v>1662844</v>
      </c>
      <c r="X219" s="1">
        <v>3115617</v>
      </c>
      <c r="Y219" s="1">
        <v>138982</v>
      </c>
      <c r="Z219" s="1">
        <v>87750</v>
      </c>
      <c r="AA219" s="1">
        <v>67813</v>
      </c>
      <c r="AB219" s="1">
        <v>172357</v>
      </c>
      <c r="AC219" s="1">
        <v>14085</v>
      </c>
      <c r="AD219" s="2">
        <f t="shared" si="17"/>
        <v>4.5207738948657679E-3</v>
      </c>
      <c r="AE219">
        <f t="shared" si="18"/>
        <v>0</v>
      </c>
      <c r="AF219" s="1">
        <v>2730</v>
      </c>
      <c r="AG219" s="1">
        <v>466048</v>
      </c>
      <c r="AH219" s="1">
        <v>2468608</v>
      </c>
      <c r="AI219" s="1">
        <v>1116557</v>
      </c>
      <c r="AJ219" s="1">
        <v>1352051</v>
      </c>
      <c r="AK219" s="1">
        <v>305856</v>
      </c>
      <c r="AL219" s="1">
        <v>2162751</v>
      </c>
    </row>
    <row r="220" spans="1:38" x14ac:dyDescent="0.2">
      <c r="A220">
        <v>246</v>
      </c>
      <c r="B220" t="s">
        <v>303</v>
      </c>
      <c r="C220" t="s">
        <v>759</v>
      </c>
      <c r="D220" t="s">
        <v>1068</v>
      </c>
      <c r="E220" t="s">
        <v>1242</v>
      </c>
      <c r="F220" t="s">
        <v>1306</v>
      </c>
      <c r="G220" s="7">
        <v>500</v>
      </c>
      <c r="H220" t="str">
        <f t="shared" si="19"/>
        <v>Z</v>
      </c>
      <c r="I220" s="1">
        <v>1935802</v>
      </c>
      <c r="J220" s="1">
        <v>159640</v>
      </c>
      <c r="K220" s="1">
        <v>141489.68792999999</v>
      </c>
      <c r="L220" s="1">
        <v>114112</v>
      </c>
      <c r="M220" s="1">
        <v>29774</v>
      </c>
      <c r="N220" s="1">
        <v>928761</v>
      </c>
      <c r="O220" s="2">
        <f t="shared" si="15"/>
        <v>0.479780989997944</v>
      </c>
      <c r="P220">
        <f t="shared" si="16"/>
        <v>0</v>
      </c>
      <c r="Q220" s="1">
        <v>1221</v>
      </c>
      <c r="R220" s="1">
        <v>132432</v>
      </c>
      <c r="S220" s="1">
        <v>1038037.08844</v>
      </c>
      <c r="T220" s="1">
        <v>246658.46716</v>
      </c>
      <c r="U220" s="1">
        <v>791378.62127999996</v>
      </c>
      <c r="V220" s="1">
        <v>561977</v>
      </c>
      <c r="W220" s="1">
        <v>476060.11956999998</v>
      </c>
      <c r="X220" s="1">
        <v>2424577</v>
      </c>
      <c r="Y220" s="1">
        <v>98804</v>
      </c>
      <c r="Z220" s="1">
        <v>69293</v>
      </c>
      <c r="AA220" s="1">
        <v>44015</v>
      </c>
      <c r="AB220" s="1">
        <v>23341</v>
      </c>
      <c r="AC220" s="1">
        <v>1216311</v>
      </c>
      <c r="AD220" s="2">
        <f t="shared" si="17"/>
        <v>0.50165905228004715</v>
      </c>
      <c r="AE220">
        <f t="shared" si="18"/>
        <v>1</v>
      </c>
      <c r="AF220" s="1">
        <v>1374</v>
      </c>
      <c r="AG220" s="1">
        <v>198886</v>
      </c>
      <c r="AH220" s="1">
        <v>1379758</v>
      </c>
      <c r="AI220" s="1">
        <v>442110</v>
      </c>
      <c r="AJ220" s="1">
        <v>937648</v>
      </c>
      <c r="AK220" s="1">
        <v>732431.76486999996</v>
      </c>
      <c r="AL220" s="1">
        <v>665088.84547000006</v>
      </c>
    </row>
    <row r="221" spans="1:38" x14ac:dyDescent="0.2">
      <c r="A221">
        <v>247</v>
      </c>
      <c r="B221" t="s">
        <v>168</v>
      </c>
      <c r="C221" t="s">
        <v>624</v>
      </c>
      <c r="D221" t="s">
        <v>1020</v>
      </c>
      <c r="E221" t="s">
        <v>1187</v>
      </c>
      <c r="F221" t="s">
        <v>1307</v>
      </c>
      <c r="G221" s="7">
        <v>500</v>
      </c>
      <c r="H221" t="str">
        <f t="shared" si="19"/>
        <v>Z</v>
      </c>
      <c r="I221" s="1">
        <v>1930030</v>
      </c>
      <c r="J221" s="1">
        <v>118519</v>
      </c>
      <c r="K221" s="1">
        <v>96166</v>
      </c>
      <c r="L221" s="1">
        <v>71491</v>
      </c>
      <c r="M221" s="1">
        <v>227011</v>
      </c>
      <c r="N221" s="1">
        <v>0</v>
      </c>
      <c r="O221" s="2">
        <f t="shared" si="15"/>
        <v>0</v>
      </c>
      <c r="P221">
        <f t="shared" si="16"/>
        <v>0</v>
      </c>
      <c r="Q221" s="1">
        <v>7245</v>
      </c>
      <c r="R221" s="1">
        <v>920953</v>
      </c>
      <c r="S221" s="1">
        <v>3333662</v>
      </c>
      <c r="T221" s="1">
        <v>2955962</v>
      </c>
      <c r="U221" s="1">
        <v>377700</v>
      </c>
      <c r="V221" s="1">
        <v>2416279</v>
      </c>
      <c r="W221" s="1">
        <v>917383</v>
      </c>
      <c r="X221" s="1">
        <v>5008000</v>
      </c>
      <c r="Y221" s="1">
        <v>32218</v>
      </c>
      <c r="Z221" s="1">
        <v>298542</v>
      </c>
      <c r="AA221" s="1">
        <v>235516</v>
      </c>
      <c r="AB221" s="1">
        <v>210090</v>
      </c>
      <c r="AC221" s="1">
        <v>0</v>
      </c>
      <c r="AD221" s="2">
        <f t="shared" si="17"/>
        <v>0</v>
      </c>
      <c r="AE221">
        <f t="shared" si="18"/>
        <v>0</v>
      </c>
      <c r="AF221" s="1">
        <v>28900</v>
      </c>
      <c r="AG221" s="1">
        <v>2394861</v>
      </c>
      <c r="AH221" s="1">
        <v>4502865</v>
      </c>
      <c r="AI221" s="1">
        <v>3714939</v>
      </c>
      <c r="AJ221" s="1">
        <v>787926</v>
      </c>
      <c r="AK221" s="1">
        <v>2996981</v>
      </c>
      <c r="AL221" s="1">
        <v>1505884</v>
      </c>
    </row>
    <row r="222" spans="1:38" x14ac:dyDescent="0.2">
      <c r="A222">
        <v>248</v>
      </c>
      <c r="B222" t="s">
        <v>496</v>
      </c>
      <c r="C222" t="s">
        <v>950</v>
      </c>
      <c r="D222" t="s">
        <v>1116</v>
      </c>
      <c r="E222" t="s">
        <v>1295</v>
      </c>
      <c r="F222" t="s">
        <v>1220</v>
      </c>
      <c r="G222" s="7">
        <v>400</v>
      </c>
      <c r="H222" t="str">
        <f t="shared" si="19"/>
        <v>K</v>
      </c>
      <c r="I222" s="1">
        <v>1893293.42126</v>
      </c>
      <c r="J222" s="1">
        <v>-1765.6718499999999</v>
      </c>
      <c r="K222" s="1">
        <v>-66580.056859999997</v>
      </c>
      <c r="L222" s="1">
        <v>-56176.184700000013</v>
      </c>
      <c r="M222" s="1">
        <v>9371.3525699999991</v>
      </c>
      <c r="N222" s="1">
        <v>610887</v>
      </c>
      <c r="O222" s="2">
        <f t="shared" si="15"/>
        <v>0.32265838624921139</v>
      </c>
      <c r="P222">
        <f t="shared" si="16"/>
        <v>0</v>
      </c>
      <c r="Q222" s="1">
        <v>759</v>
      </c>
      <c r="R222" s="1">
        <v>55614.572619999999</v>
      </c>
      <c r="S222" s="1">
        <v>544008.39737999998</v>
      </c>
      <c r="T222" s="1">
        <v>111306.92217000001</v>
      </c>
      <c r="U222" s="1">
        <v>432701.47521</v>
      </c>
      <c r="V222" s="1">
        <v>191758.13339</v>
      </c>
      <c r="W222" s="1">
        <v>352250.26399000001</v>
      </c>
      <c r="X222" s="1">
        <v>0</v>
      </c>
      <c r="Y222" s="1">
        <v>-1443.7454</v>
      </c>
      <c r="Z222" s="1">
        <v>60844.330020000001</v>
      </c>
      <c r="AA222" s="1">
        <v>34219.836020000002</v>
      </c>
      <c r="AB222" s="1">
        <v>0</v>
      </c>
      <c r="AC222" s="1">
        <v>0</v>
      </c>
      <c r="AD222" s="2">
        <f t="shared" si="17"/>
        <v>0</v>
      </c>
      <c r="AE222">
        <f t="shared" si="18"/>
        <v>0</v>
      </c>
      <c r="AF222" s="1">
        <v>0</v>
      </c>
      <c r="AG222" s="1">
        <v>0</v>
      </c>
      <c r="AH222" s="1">
        <v>865281.53266999999</v>
      </c>
      <c r="AI222" s="1">
        <v>773654.14870000002</v>
      </c>
      <c r="AJ222" s="1">
        <v>91627.383969999995</v>
      </c>
      <c r="AK222" s="1">
        <v>754657.64001999993</v>
      </c>
      <c r="AL222" s="1">
        <v>110623.89264999999</v>
      </c>
    </row>
    <row r="223" spans="1:38" x14ac:dyDescent="0.2">
      <c r="A223">
        <v>249</v>
      </c>
      <c r="B223" t="s">
        <v>497</v>
      </c>
      <c r="C223" t="s">
        <v>951</v>
      </c>
      <c r="D223" t="s">
        <v>965</v>
      </c>
      <c r="E223" t="s">
        <v>1297</v>
      </c>
      <c r="F223" t="s">
        <v>1304</v>
      </c>
      <c r="G223" s="7">
        <v>450</v>
      </c>
      <c r="H223" t="str">
        <f t="shared" si="19"/>
        <v>K</v>
      </c>
      <c r="I223" s="1">
        <v>73721</v>
      </c>
      <c r="J223" s="1">
        <v>-31387</v>
      </c>
      <c r="K223" s="1">
        <v>-37263</v>
      </c>
      <c r="L223" s="1">
        <v>-9700</v>
      </c>
      <c r="M223" s="1">
        <v>0</v>
      </c>
      <c r="N223" s="1">
        <v>484030</v>
      </c>
      <c r="O223" s="2">
        <f t="shared" si="15"/>
        <v>6.5657004110090744</v>
      </c>
      <c r="P223">
        <f t="shared" si="16"/>
        <v>1</v>
      </c>
      <c r="Q223" s="1">
        <v>476</v>
      </c>
      <c r="R223" s="1">
        <v>41694</v>
      </c>
      <c r="S223" s="1">
        <v>161016</v>
      </c>
      <c r="T223" s="1">
        <v>161016</v>
      </c>
      <c r="U223" s="1">
        <v>161016</v>
      </c>
      <c r="V223" s="1">
        <v>-17914</v>
      </c>
      <c r="W223" s="1">
        <v>178930</v>
      </c>
      <c r="X223" s="1">
        <v>0</v>
      </c>
      <c r="Y223" s="1">
        <v>10845</v>
      </c>
      <c r="Z223" s="1">
        <v>6258</v>
      </c>
      <c r="AA223" s="1">
        <v>6258</v>
      </c>
      <c r="AB223" s="1">
        <v>2</v>
      </c>
      <c r="AC223" s="1">
        <v>0</v>
      </c>
      <c r="AD223" s="2">
        <f t="shared" si="17"/>
        <v>0</v>
      </c>
      <c r="AE223">
        <f t="shared" si="18"/>
        <v>0</v>
      </c>
      <c r="AF223" s="1">
        <v>0</v>
      </c>
      <c r="AG223" s="1">
        <v>15</v>
      </c>
      <c r="AH223" s="1">
        <v>13012</v>
      </c>
      <c r="AI223" s="1">
        <v>2306</v>
      </c>
      <c r="AJ223" s="1">
        <v>10706</v>
      </c>
      <c r="AK223" s="1">
        <v>5</v>
      </c>
      <c r="AL223" s="1">
        <v>13007</v>
      </c>
    </row>
    <row r="224" spans="1:38" x14ac:dyDescent="0.2">
      <c r="A224">
        <v>251</v>
      </c>
      <c r="B224" t="s">
        <v>417</v>
      </c>
      <c r="C224" t="s">
        <v>874</v>
      </c>
      <c r="D224" t="s">
        <v>1057</v>
      </c>
      <c r="E224" t="s">
        <v>1230</v>
      </c>
      <c r="F224" t="s">
        <v>1305</v>
      </c>
      <c r="G224" s="7">
        <v>500</v>
      </c>
      <c r="H224" t="str">
        <f t="shared" si="19"/>
        <v>Z</v>
      </c>
      <c r="I224" s="1">
        <v>1908518</v>
      </c>
      <c r="J224" s="1">
        <v>7287</v>
      </c>
      <c r="K224" s="1">
        <v>12791</v>
      </c>
      <c r="L224" s="1">
        <v>9969</v>
      </c>
      <c r="M224" s="1">
        <v>9979</v>
      </c>
      <c r="N224" s="1">
        <v>1392765</v>
      </c>
      <c r="O224" s="2">
        <f t="shared" si="15"/>
        <v>0.72976256970067876</v>
      </c>
      <c r="P224">
        <f t="shared" si="16"/>
        <v>1</v>
      </c>
      <c r="Q224" s="1">
        <v>1083</v>
      </c>
      <c r="R224" s="1">
        <v>96945.010399999999</v>
      </c>
      <c r="S224" s="1">
        <v>2194064</v>
      </c>
      <c r="T224" s="1">
        <v>123944</v>
      </c>
      <c r="U224" s="1">
        <v>2070120</v>
      </c>
      <c r="V224" s="1">
        <v>145624</v>
      </c>
      <c r="W224" s="1">
        <v>2048439.8115999999</v>
      </c>
      <c r="X224" s="1">
        <v>1530375.04012</v>
      </c>
      <c r="Y224" s="1">
        <v>-1029.9282499999999</v>
      </c>
      <c r="Z224" s="1">
        <v>32755.583869999999</v>
      </c>
      <c r="AA224" s="1">
        <v>28410.772870000001</v>
      </c>
      <c r="AB224" s="1">
        <v>14651.02972</v>
      </c>
      <c r="AC224" s="1">
        <v>1304720</v>
      </c>
      <c r="AD224" s="2">
        <f t="shared" si="17"/>
        <v>0.85254918944423852</v>
      </c>
      <c r="AE224">
        <f t="shared" si="18"/>
        <v>1</v>
      </c>
      <c r="AF224" s="1">
        <v>1109</v>
      </c>
      <c r="AG224" s="1">
        <v>172008.07965</v>
      </c>
      <c r="AH224" s="1">
        <v>2882941.2588800001</v>
      </c>
      <c r="AI224" s="1">
        <v>244238.99992999999</v>
      </c>
      <c r="AJ224" s="1">
        <v>2638702.2589500002</v>
      </c>
      <c r="AK224" s="1">
        <v>152684.59927000001</v>
      </c>
      <c r="AL224" s="1">
        <v>2730256.65961</v>
      </c>
    </row>
    <row r="225" spans="1:38" x14ac:dyDescent="0.2">
      <c r="A225">
        <v>252</v>
      </c>
      <c r="B225" t="s">
        <v>218</v>
      </c>
      <c r="C225" t="s">
        <v>674</v>
      </c>
      <c r="D225" t="s">
        <v>1038</v>
      </c>
      <c r="E225" t="s">
        <v>1212</v>
      </c>
      <c r="F225" t="s">
        <v>1220</v>
      </c>
      <c r="G225" s="7">
        <v>500</v>
      </c>
      <c r="H225" t="str">
        <f t="shared" si="19"/>
        <v>Z</v>
      </c>
      <c r="I225" s="1">
        <v>1906593</v>
      </c>
      <c r="J225" s="1">
        <v>122932</v>
      </c>
      <c r="K225" s="1">
        <v>87932</v>
      </c>
      <c r="L225" s="1">
        <v>68259</v>
      </c>
      <c r="M225" s="1">
        <v>115501</v>
      </c>
      <c r="N225" s="1">
        <v>43830</v>
      </c>
      <c r="O225" s="2">
        <f t="shared" si="15"/>
        <v>2.2988650435619977E-2</v>
      </c>
      <c r="P225">
        <f t="shared" si="16"/>
        <v>0</v>
      </c>
      <c r="Q225" s="1">
        <v>8235</v>
      </c>
      <c r="R225" s="1">
        <v>481623</v>
      </c>
      <c r="S225" s="1">
        <v>3192053</v>
      </c>
      <c r="T225" s="1">
        <v>2912867</v>
      </c>
      <c r="U225" s="1">
        <v>279186</v>
      </c>
      <c r="V225" s="1">
        <v>1637837</v>
      </c>
      <c r="W225" s="1">
        <v>1554216</v>
      </c>
      <c r="X225" s="1">
        <v>3413485.2</v>
      </c>
      <c r="Y225" s="1">
        <v>223432</v>
      </c>
      <c r="Z225" s="1">
        <v>450152</v>
      </c>
      <c r="AA225" s="1">
        <v>417167</v>
      </c>
      <c r="AB225" s="1">
        <v>142211</v>
      </c>
      <c r="AC225" s="1">
        <v>157503</v>
      </c>
      <c r="AD225" s="2">
        <f t="shared" si="17"/>
        <v>4.6141404099247302E-2</v>
      </c>
      <c r="AE225">
        <f t="shared" si="18"/>
        <v>0</v>
      </c>
      <c r="AF225" s="1">
        <v>8028</v>
      </c>
      <c r="AG225" s="1">
        <v>861872</v>
      </c>
      <c r="AH225" s="1">
        <v>3951040</v>
      </c>
      <c r="AI225" s="1">
        <v>3765876</v>
      </c>
      <c r="AJ225" s="1">
        <v>185164</v>
      </c>
      <c r="AK225" s="1">
        <v>2496116</v>
      </c>
      <c r="AL225" s="1">
        <v>1454924</v>
      </c>
    </row>
    <row r="226" spans="1:38" x14ac:dyDescent="0.2">
      <c r="A226">
        <v>253</v>
      </c>
      <c r="B226" t="s">
        <v>317</v>
      </c>
      <c r="C226" t="s">
        <v>773</v>
      </c>
      <c r="D226" t="s">
        <v>975</v>
      </c>
      <c r="E226" t="s">
        <v>1132</v>
      </c>
      <c r="F226" t="s">
        <v>1303</v>
      </c>
      <c r="G226" s="7">
        <v>400</v>
      </c>
      <c r="H226" t="str">
        <f t="shared" si="19"/>
        <v>K</v>
      </c>
      <c r="I226" s="1">
        <v>1901604</v>
      </c>
      <c r="J226" s="1">
        <v>54592</v>
      </c>
      <c r="K226" s="1">
        <v>22333</v>
      </c>
      <c r="L226" s="1">
        <v>19772</v>
      </c>
      <c r="M226" s="1">
        <v>46236</v>
      </c>
      <c r="N226" s="1">
        <v>520531</v>
      </c>
      <c r="O226" s="2">
        <f t="shared" si="15"/>
        <v>0.27373259627135826</v>
      </c>
      <c r="P226">
        <f t="shared" si="16"/>
        <v>0</v>
      </c>
      <c r="Q226" s="1">
        <v>2026</v>
      </c>
      <c r="R226" s="1">
        <v>181613</v>
      </c>
      <c r="S226" s="1">
        <v>1051731</v>
      </c>
      <c r="T226" s="1">
        <v>487249</v>
      </c>
      <c r="U226" s="1">
        <v>564482</v>
      </c>
      <c r="V226" s="1">
        <v>277191</v>
      </c>
      <c r="W226" s="1">
        <v>774540</v>
      </c>
      <c r="X226" s="1">
        <v>2293369</v>
      </c>
      <c r="Y226" s="1">
        <v>-25991</v>
      </c>
      <c r="Z226" s="1">
        <v>-69168</v>
      </c>
      <c r="AA226" s="1">
        <v>-57520</v>
      </c>
      <c r="AB226" s="1">
        <v>48834</v>
      </c>
      <c r="AC226" s="1">
        <v>919574</v>
      </c>
      <c r="AD226" s="2">
        <f t="shared" si="17"/>
        <v>0.40097079885530851</v>
      </c>
      <c r="AE226">
        <f t="shared" si="18"/>
        <v>0</v>
      </c>
      <c r="AF226" s="1">
        <v>1889</v>
      </c>
      <c r="AG226" s="1">
        <v>251246</v>
      </c>
      <c r="AH226" s="1">
        <v>2626439</v>
      </c>
      <c r="AI226" s="1">
        <v>1614419</v>
      </c>
      <c r="AJ226" s="1">
        <v>1012020</v>
      </c>
      <c r="AK226" s="1">
        <v>1179510</v>
      </c>
      <c r="AL226" s="1">
        <v>1446929</v>
      </c>
    </row>
    <row r="227" spans="1:38" x14ac:dyDescent="0.2">
      <c r="A227">
        <v>254</v>
      </c>
      <c r="B227" t="s">
        <v>282</v>
      </c>
      <c r="C227" t="s">
        <v>738</v>
      </c>
      <c r="D227" t="s">
        <v>1064</v>
      </c>
      <c r="E227" t="s">
        <v>1238</v>
      </c>
      <c r="F227" t="s">
        <v>1305</v>
      </c>
      <c r="G227" s="7">
        <v>500</v>
      </c>
      <c r="H227" t="str">
        <f t="shared" si="19"/>
        <v>Z</v>
      </c>
      <c r="I227" s="1">
        <v>1864283.21538</v>
      </c>
      <c r="J227" s="1">
        <v>186542.89251000001</v>
      </c>
      <c r="K227" s="1">
        <v>191110.71965000001</v>
      </c>
      <c r="L227" s="1">
        <v>151940</v>
      </c>
      <c r="M227" s="1">
        <v>39897</v>
      </c>
      <c r="N227" s="1">
        <v>1653797</v>
      </c>
      <c r="O227" s="2">
        <f t="shared" si="15"/>
        <v>0.88709536531599564</v>
      </c>
      <c r="P227">
        <f t="shared" si="16"/>
        <v>1</v>
      </c>
      <c r="Q227" s="1">
        <v>1210</v>
      </c>
      <c r="R227" s="1">
        <v>145754.59336</v>
      </c>
      <c r="S227" s="1">
        <v>972134.57039999997</v>
      </c>
      <c r="T227" s="1">
        <v>547257.89613000001</v>
      </c>
      <c r="U227" s="1">
        <v>424876.67427000002</v>
      </c>
      <c r="V227" s="1">
        <v>623160</v>
      </c>
      <c r="W227" s="1">
        <v>348974.39584999997</v>
      </c>
      <c r="X227" s="1">
        <v>2572155.5112899998</v>
      </c>
      <c r="Y227" s="1">
        <v>21879.843649999999</v>
      </c>
      <c r="Z227" s="1">
        <v>48194.229249999997</v>
      </c>
      <c r="AA227" s="1">
        <v>25969.626319999999</v>
      </c>
      <c r="AB227" s="1">
        <v>73617.423009999999</v>
      </c>
      <c r="AC227" s="1">
        <v>2420599.7999999998</v>
      </c>
      <c r="AD227" s="2">
        <f t="shared" si="17"/>
        <v>0.94107832492056787</v>
      </c>
      <c r="AE227">
        <f t="shared" si="18"/>
        <v>1</v>
      </c>
      <c r="AF227" s="1">
        <v>1374</v>
      </c>
      <c r="AG227" s="1">
        <v>210755.46716</v>
      </c>
      <c r="AH227" s="1">
        <v>1293546.3062400001</v>
      </c>
      <c r="AI227" s="1">
        <v>626896.85457000008</v>
      </c>
      <c r="AJ227" s="1">
        <v>666649.45166999998</v>
      </c>
      <c r="AK227" s="1">
        <v>728025.37989999994</v>
      </c>
      <c r="AL227" s="1">
        <v>565520.92633000005</v>
      </c>
    </row>
    <row r="228" spans="1:38" x14ac:dyDescent="0.2">
      <c r="A228">
        <v>255</v>
      </c>
      <c r="B228" t="s">
        <v>332</v>
      </c>
      <c r="C228" t="s">
        <v>789</v>
      </c>
      <c r="D228" t="s">
        <v>1076</v>
      </c>
      <c r="E228" t="s">
        <v>1252</v>
      </c>
      <c r="F228" t="s">
        <v>1305</v>
      </c>
      <c r="G228" s="7">
        <v>540</v>
      </c>
      <c r="H228" t="str">
        <f t="shared" si="19"/>
        <v>Z</v>
      </c>
      <c r="I228" s="1">
        <v>1894964</v>
      </c>
      <c r="J228" s="1">
        <v>59829</v>
      </c>
      <c r="K228" s="1">
        <v>51737</v>
      </c>
      <c r="L228" s="1">
        <v>38888.9</v>
      </c>
      <c r="M228" s="1">
        <v>64936</v>
      </c>
      <c r="N228" s="1">
        <v>97892</v>
      </c>
      <c r="O228" s="2">
        <f t="shared" si="15"/>
        <v>5.1659028878648879E-2</v>
      </c>
      <c r="P228">
        <f t="shared" si="16"/>
        <v>0</v>
      </c>
      <c r="Q228" s="1">
        <v>1265</v>
      </c>
      <c r="R228" s="1">
        <v>114625</v>
      </c>
      <c r="S228" s="1">
        <v>979564</v>
      </c>
      <c r="T228" s="1">
        <v>546818</v>
      </c>
      <c r="U228" s="1">
        <v>432746</v>
      </c>
      <c r="V228" s="1">
        <v>268886</v>
      </c>
      <c r="W228" s="1">
        <v>666081</v>
      </c>
      <c r="X228" s="1">
        <v>2203743</v>
      </c>
      <c r="Y228" s="1">
        <v>66447</v>
      </c>
      <c r="Z228" s="1">
        <v>62939</v>
      </c>
      <c r="AA228" s="1">
        <v>51746</v>
      </c>
      <c r="AB228" s="1">
        <v>15140</v>
      </c>
      <c r="AC228" s="1">
        <v>234688</v>
      </c>
      <c r="AD228" s="2">
        <f t="shared" si="17"/>
        <v>0.10649517661542203</v>
      </c>
      <c r="AE228">
        <f t="shared" si="18"/>
        <v>0</v>
      </c>
      <c r="AF228" s="1">
        <v>1301</v>
      </c>
      <c r="AG228" s="1">
        <v>189193</v>
      </c>
      <c r="AH228" s="1">
        <v>877148</v>
      </c>
      <c r="AI228" s="1">
        <v>177947</v>
      </c>
      <c r="AJ228" s="1">
        <v>699201</v>
      </c>
      <c r="AK228" s="1">
        <v>367867</v>
      </c>
      <c r="AL228" s="1">
        <v>493219</v>
      </c>
    </row>
    <row r="229" spans="1:38" x14ac:dyDescent="0.2">
      <c r="A229">
        <v>257</v>
      </c>
      <c r="B229" t="s">
        <v>288</v>
      </c>
      <c r="C229" t="s">
        <v>744</v>
      </c>
      <c r="D229" t="s">
        <v>1024</v>
      </c>
      <c r="E229" t="s">
        <v>1192</v>
      </c>
      <c r="F229" t="s">
        <v>1306</v>
      </c>
      <c r="G229" s="7">
        <v>500</v>
      </c>
      <c r="H229" t="str">
        <f t="shared" si="19"/>
        <v>Z</v>
      </c>
      <c r="I229" s="1">
        <v>1877792</v>
      </c>
      <c r="J229" s="1">
        <v>55933</v>
      </c>
      <c r="K229" s="1">
        <v>45543</v>
      </c>
      <c r="L229" s="1">
        <v>43562</v>
      </c>
      <c r="M229" s="1">
        <v>5856</v>
      </c>
      <c r="N229" s="1">
        <v>914</v>
      </c>
      <c r="O229" s="2">
        <f t="shared" si="15"/>
        <v>4.8674187556449277E-4</v>
      </c>
      <c r="P229">
        <f t="shared" si="16"/>
        <v>0</v>
      </c>
      <c r="Q229" s="1">
        <v>244</v>
      </c>
      <c r="R229" s="1">
        <v>18164</v>
      </c>
      <c r="S229" s="1">
        <v>582230</v>
      </c>
      <c r="T229" s="1">
        <v>39044</v>
      </c>
      <c r="U229" s="1">
        <v>543186</v>
      </c>
      <c r="V229" s="1">
        <v>176091</v>
      </c>
      <c r="W229" s="1">
        <v>405947</v>
      </c>
      <c r="X229" s="1">
        <v>2518766.2975599999</v>
      </c>
      <c r="Y229" s="1">
        <v>73969.072090000001</v>
      </c>
      <c r="Z229" s="1">
        <v>88907.456780000008</v>
      </c>
      <c r="AA229" s="1">
        <v>70428.728019999995</v>
      </c>
      <c r="AB229" s="1">
        <v>9292</v>
      </c>
      <c r="AC229" s="1">
        <v>39</v>
      </c>
      <c r="AD229" s="2">
        <f t="shared" si="17"/>
        <v>1.5483770780076104E-5</v>
      </c>
      <c r="AE229">
        <f t="shared" si="18"/>
        <v>0</v>
      </c>
      <c r="AF229" s="1">
        <v>314</v>
      </c>
      <c r="AG229" s="1">
        <v>26315</v>
      </c>
      <c r="AH229" s="1">
        <v>509641.03869000002</v>
      </c>
      <c r="AI229" s="1">
        <v>33235.054199999999</v>
      </c>
      <c r="AJ229" s="1">
        <v>476405.98449</v>
      </c>
      <c r="AK229" s="1">
        <v>282455.21096</v>
      </c>
      <c r="AL229" s="1">
        <v>227185.82772999999</v>
      </c>
    </row>
    <row r="230" spans="1:38" x14ac:dyDescent="0.2">
      <c r="A230">
        <v>258</v>
      </c>
      <c r="B230" t="s">
        <v>248</v>
      </c>
      <c r="C230" t="s">
        <v>704</v>
      </c>
      <c r="D230" t="s">
        <v>1051</v>
      </c>
      <c r="E230" t="s">
        <v>1224</v>
      </c>
      <c r="F230" t="s">
        <v>1301</v>
      </c>
      <c r="G230" s="7">
        <v>500</v>
      </c>
      <c r="H230" t="str">
        <f t="shared" si="19"/>
        <v>Z</v>
      </c>
      <c r="I230" s="1">
        <v>1869652</v>
      </c>
      <c r="J230" s="1">
        <v>53800</v>
      </c>
      <c r="K230" s="1">
        <v>56567</v>
      </c>
      <c r="L230" s="1">
        <v>43944</v>
      </c>
      <c r="M230" s="1">
        <v>45086</v>
      </c>
      <c r="N230" s="1">
        <v>79117</v>
      </c>
      <c r="O230" s="2">
        <f t="shared" si="15"/>
        <v>4.23164310791527E-2</v>
      </c>
      <c r="P230">
        <f t="shared" si="16"/>
        <v>0</v>
      </c>
      <c r="Q230" s="1">
        <v>3503</v>
      </c>
      <c r="R230" s="1">
        <v>199172.91443999999</v>
      </c>
      <c r="S230" s="1">
        <v>415967</v>
      </c>
      <c r="T230" s="1">
        <v>134402</v>
      </c>
      <c r="U230" s="1">
        <v>281565</v>
      </c>
      <c r="V230" s="1">
        <v>91113</v>
      </c>
      <c r="W230" s="1">
        <v>318038.04068999999</v>
      </c>
      <c r="X230" s="1">
        <v>2990535.1975799999</v>
      </c>
      <c r="Y230" s="1">
        <v>103800.90835</v>
      </c>
      <c r="Z230" s="1">
        <v>111378.81379</v>
      </c>
      <c r="AA230" s="1">
        <v>86810.675340000002</v>
      </c>
      <c r="AB230" s="1">
        <v>48020.724280000002</v>
      </c>
      <c r="AC230" s="1">
        <v>375904</v>
      </c>
      <c r="AD230" s="2">
        <f t="shared" si="17"/>
        <v>0.12569790193547595</v>
      </c>
      <c r="AE230">
        <f t="shared" si="18"/>
        <v>0</v>
      </c>
      <c r="AF230" s="1">
        <v>3279</v>
      </c>
      <c r="AG230" s="1">
        <v>327149.19809000002</v>
      </c>
      <c r="AH230" s="1">
        <v>572919.49338999996</v>
      </c>
      <c r="AI230" s="1">
        <v>118206.91099</v>
      </c>
      <c r="AJ230" s="1">
        <v>454712.58240000001</v>
      </c>
      <c r="AK230" s="1">
        <v>131018.75483000001</v>
      </c>
      <c r="AL230" s="1">
        <v>441900.73856000003</v>
      </c>
    </row>
    <row r="231" spans="1:38" x14ac:dyDescent="0.2">
      <c r="A231">
        <v>259</v>
      </c>
      <c r="B231" t="s">
        <v>290</v>
      </c>
      <c r="C231" t="s">
        <v>746</v>
      </c>
      <c r="D231" t="s">
        <v>1002</v>
      </c>
      <c r="E231" t="s">
        <v>1163</v>
      </c>
      <c r="F231" t="s">
        <v>1301</v>
      </c>
      <c r="G231" s="7">
        <v>400</v>
      </c>
      <c r="H231" t="str">
        <f t="shared" si="19"/>
        <v>K</v>
      </c>
      <c r="I231" s="1">
        <v>1860096.36051</v>
      </c>
      <c r="J231" s="1">
        <v>187477.72860999999</v>
      </c>
      <c r="K231" s="1">
        <v>185567.54746999999</v>
      </c>
      <c r="L231" s="1">
        <v>148101.98206000001</v>
      </c>
      <c r="M231" s="1">
        <v>50023.312729999998</v>
      </c>
      <c r="N231" s="1">
        <v>3873</v>
      </c>
      <c r="O231" s="2">
        <f t="shared" si="15"/>
        <v>2.0821501951318821E-3</v>
      </c>
      <c r="P231">
        <f t="shared" si="16"/>
        <v>0</v>
      </c>
      <c r="Q231" s="1">
        <v>3153</v>
      </c>
      <c r="R231" s="1">
        <v>220713.43466999999</v>
      </c>
      <c r="S231" s="1">
        <v>1583549.0472800001</v>
      </c>
      <c r="T231" s="1">
        <v>1094192.68931</v>
      </c>
      <c r="U231" s="1">
        <v>489356.35797000001</v>
      </c>
      <c r="V231" s="1">
        <v>954386.29498000001</v>
      </c>
      <c r="W231" s="1">
        <v>629162.75229999993</v>
      </c>
      <c r="X231" s="1">
        <v>2515394</v>
      </c>
      <c r="Y231" s="1">
        <v>233999.9</v>
      </c>
      <c r="Z231" s="1">
        <v>230155</v>
      </c>
      <c r="AA231" s="1">
        <v>182728</v>
      </c>
      <c r="AB231" s="1">
        <v>58703</v>
      </c>
      <c r="AC231" s="1">
        <v>11963</v>
      </c>
      <c r="AD231" s="2">
        <f t="shared" si="17"/>
        <v>4.7559149779318865E-3</v>
      </c>
      <c r="AE231">
        <f t="shared" si="18"/>
        <v>0</v>
      </c>
      <c r="AF231" s="1">
        <v>4060</v>
      </c>
      <c r="AG231" s="1">
        <v>376151</v>
      </c>
      <c r="AH231" s="1">
        <v>2137654</v>
      </c>
      <c r="AI231" s="1">
        <v>1534467</v>
      </c>
      <c r="AJ231" s="1">
        <v>603187</v>
      </c>
      <c r="AK231" s="1">
        <v>1419854</v>
      </c>
      <c r="AL231" s="1">
        <v>717799.7</v>
      </c>
    </row>
    <row r="232" spans="1:38" x14ac:dyDescent="0.2">
      <c r="A232">
        <v>260</v>
      </c>
      <c r="B232" t="s">
        <v>243</v>
      </c>
      <c r="C232" t="s">
        <v>699</v>
      </c>
      <c r="D232" t="s">
        <v>974</v>
      </c>
      <c r="E232" t="s">
        <v>1131</v>
      </c>
      <c r="F232" t="s">
        <v>1305</v>
      </c>
      <c r="G232" s="7">
        <v>500</v>
      </c>
      <c r="H232" t="str">
        <f t="shared" si="19"/>
        <v>Z</v>
      </c>
      <c r="I232" s="1">
        <v>1858823.3993299999</v>
      </c>
      <c r="J232" s="1">
        <v>3469.8460500000001</v>
      </c>
      <c r="K232" s="1">
        <v>6585.8340199999993</v>
      </c>
      <c r="L232" s="1">
        <v>4766.4559300000001</v>
      </c>
      <c r="M232" s="1">
        <v>185.00839999999999</v>
      </c>
      <c r="N232" s="1">
        <v>19</v>
      </c>
      <c r="O232" s="2">
        <f t="shared" si="15"/>
        <v>1.0221519702650837E-5</v>
      </c>
      <c r="P232">
        <f t="shared" si="16"/>
        <v>0</v>
      </c>
      <c r="Q232" s="1">
        <v>26</v>
      </c>
      <c r="R232" s="1">
        <v>6823.0982700000004</v>
      </c>
      <c r="S232" s="1">
        <v>368011</v>
      </c>
      <c r="T232" s="1">
        <v>61874</v>
      </c>
      <c r="U232" s="1">
        <v>306137</v>
      </c>
      <c r="V232" s="1">
        <v>28521</v>
      </c>
      <c r="W232" s="1">
        <v>339489.95653000002</v>
      </c>
      <c r="X232" s="1">
        <v>3049095.9266300001</v>
      </c>
      <c r="Y232" s="1">
        <v>10176.97226</v>
      </c>
      <c r="Z232" s="1">
        <v>27948.766329999999</v>
      </c>
      <c r="AA232" s="1">
        <v>27461.27002</v>
      </c>
      <c r="AB232" s="1">
        <v>650.44754</v>
      </c>
      <c r="AC232" s="1">
        <v>0</v>
      </c>
      <c r="AD232" s="2">
        <f t="shared" si="17"/>
        <v>0</v>
      </c>
      <c r="AE232">
        <f t="shared" si="18"/>
        <v>0</v>
      </c>
      <c r="AF232" s="1">
        <v>192</v>
      </c>
      <c r="AG232" s="1">
        <v>48951.192609999998</v>
      </c>
      <c r="AH232" s="1">
        <v>459676.54171000002</v>
      </c>
      <c r="AI232" s="1">
        <v>97232.846730000005</v>
      </c>
      <c r="AJ232" s="1">
        <v>362443.69497999997</v>
      </c>
      <c r="AK232" s="1">
        <v>28195.6584</v>
      </c>
      <c r="AL232" s="1">
        <v>431480.88331</v>
      </c>
    </row>
    <row r="233" spans="1:38" x14ac:dyDescent="0.2">
      <c r="A233">
        <v>261</v>
      </c>
      <c r="B233" t="s">
        <v>256</v>
      </c>
      <c r="C233" t="s">
        <v>712</v>
      </c>
      <c r="D233" t="s">
        <v>1019</v>
      </c>
      <c r="E233" t="s">
        <v>1185</v>
      </c>
      <c r="F233" t="s">
        <v>1307</v>
      </c>
      <c r="G233" s="7">
        <v>500</v>
      </c>
      <c r="H233" t="str">
        <f t="shared" si="19"/>
        <v>Z</v>
      </c>
      <c r="I233" s="1">
        <v>1854585</v>
      </c>
      <c r="J233" s="1">
        <v>68581</v>
      </c>
      <c r="K233" s="1">
        <v>62513</v>
      </c>
      <c r="L233" s="1">
        <v>43003</v>
      </c>
      <c r="M233" s="1">
        <v>58689</v>
      </c>
      <c r="N233" s="1">
        <v>314551</v>
      </c>
      <c r="O233" s="2">
        <f t="shared" si="15"/>
        <v>0.16960721670885939</v>
      </c>
      <c r="P233">
        <f t="shared" si="16"/>
        <v>0</v>
      </c>
      <c r="Q233" s="1">
        <v>876</v>
      </c>
      <c r="R233" s="1">
        <v>104676</v>
      </c>
      <c r="S233" s="1">
        <v>1349421</v>
      </c>
      <c r="T233" s="1">
        <v>379567</v>
      </c>
      <c r="U233" s="1">
        <v>969854</v>
      </c>
      <c r="V233" s="1">
        <v>646104</v>
      </c>
      <c r="W233" s="1">
        <v>703316.57700000005</v>
      </c>
      <c r="X233" s="1">
        <v>2900734</v>
      </c>
      <c r="Y233" s="1">
        <v>115308</v>
      </c>
      <c r="Z233" s="1">
        <v>106745</v>
      </c>
      <c r="AA233" s="1">
        <v>105694</v>
      </c>
      <c r="AB233" s="1">
        <v>49717</v>
      </c>
      <c r="AC233" s="1">
        <v>958115</v>
      </c>
      <c r="AD233" s="2">
        <f t="shared" si="17"/>
        <v>0.33030088246629991</v>
      </c>
      <c r="AE233">
        <f t="shared" si="18"/>
        <v>0</v>
      </c>
      <c r="AF233" s="1">
        <v>1148</v>
      </c>
      <c r="AG233" s="1">
        <v>180673</v>
      </c>
      <c r="AH233" s="1">
        <v>1671194</v>
      </c>
      <c r="AI233" s="1">
        <v>493247</v>
      </c>
      <c r="AJ233" s="1">
        <v>1177947</v>
      </c>
      <c r="AK233" s="1">
        <v>1027042</v>
      </c>
      <c r="AL233" s="1">
        <v>644152</v>
      </c>
    </row>
    <row r="234" spans="1:38" x14ac:dyDescent="0.2">
      <c r="A234">
        <v>262</v>
      </c>
      <c r="B234" t="s">
        <v>233</v>
      </c>
      <c r="C234" t="s">
        <v>689</v>
      </c>
      <c r="D234" t="s">
        <v>965</v>
      </c>
      <c r="E234" t="s">
        <v>1122</v>
      </c>
      <c r="F234" t="s">
        <v>1306</v>
      </c>
      <c r="G234" s="7">
        <v>400</v>
      </c>
      <c r="H234" t="str">
        <f t="shared" si="19"/>
        <v>K</v>
      </c>
      <c r="I234" s="1">
        <v>1848083</v>
      </c>
      <c r="J234" s="1">
        <v>129152</v>
      </c>
      <c r="K234" s="1">
        <v>93912</v>
      </c>
      <c r="L234" s="1">
        <v>75209</v>
      </c>
      <c r="M234" s="1">
        <v>155447</v>
      </c>
      <c r="N234" s="1">
        <v>0</v>
      </c>
      <c r="O234" s="2">
        <f t="shared" si="15"/>
        <v>0</v>
      </c>
      <c r="P234">
        <f t="shared" si="16"/>
        <v>0</v>
      </c>
      <c r="Q234" s="1">
        <v>922</v>
      </c>
      <c r="R234" s="1">
        <v>116969</v>
      </c>
      <c r="S234" s="1">
        <v>2868263</v>
      </c>
      <c r="T234" s="1">
        <v>2156843</v>
      </c>
      <c r="U234" s="1">
        <v>711420</v>
      </c>
      <c r="V234" s="1">
        <v>1260900</v>
      </c>
      <c r="W234" s="1">
        <v>1607363</v>
      </c>
      <c r="X234" s="1">
        <v>3199701</v>
      </c>
      <c r="Y234" s="1">
        <v>-858943</v>
      </c>
      <c r="Z234" s="1">
        <v>-904351</v>
      </c>
      <c r="AA234" s="1">
        <v>-896334</v>
      </c>
      <c r="AB234" s="1">
        <v>151563</v>
      </c>
      <c r="AC234" s="1">
        <v>0</v>
      </c>
      <c r="AD234" s="2">
        <f t="shared" si="17"/>
        <v>0</v>
      </c>
      <c r="AE234">
        <f t="shared" si="18"/>
        <v>0</v>
      </c>
      <c r="AF234" s="1">
        <v>903</v>
      </c>
      <c r="AG234" s="1">
        <v>132744</v>
      </c>
      <c r="AH234" s="1">
        <v>1897347</v>
      </c>
      <c r="AI234" s="1">
        <v>1205825</v>
      </c>
      <c r="AJ234" s="1">
        <v>691522</v>
      </c>
      <c r="AK234" s="1">
        <v>507661</v>
      </c>
      <c r="AL234" s="1">
        <v>1389687</v>
      </c>
    </row>
    <row r="235" spans="1:38" x14ac:dyDescent="0.2">
      <c r="A235">
        <v>263</v>
      </c>
      <c r="B235" t="s">
        <v>330</v>
      </c>
      <c r="C235" t="s">
        <v>787</v>
      </c>
      <c r="D235" t="s">
        <v>988</v>
      </c>
      <c r="E235" t="s">
        <v>1148</v>
      </c>
      <c r="F235" t="s">
        <v>1310</v>
      </c>
      <c r="G235" s="7">
        <v>400</v>
      </c>
      <c r="H235" t="str">
        <f t="shared" si="19"/>
        <v>K</v>
      </c>
      <c r="I235" s="1">
        <v>1834609</v>
      </c>
      <c r="J235" s="1">
        <v>161389</v>
      </c>
      <c r="K235" s="1">
        <v>157922</v>
      </c>
      <c r="L235" s="1">
        <v>126083</v>
      </c>
      <c r="M235" s="1">
        <v>128987</v>
      </c>
      <c r="N235" s="1">
        <v>773005.73646000016</v>
      </c>
      <c r="O235" s="2">
        <f t="shared" si="15"/>
        <v>0.42134631218968194</v>
      </c>
      <c r="P235">
        <f t="shared" si="16"/>
        <v>0</v>
      </c>
      <c r="Q235" s="1">
        <v>1558</v>
      </c>
      <c r="R235" s="1">
        <v>188814</v>
      </c>
      <c r="S235" s="1">
        <v>2262055.2404499999</v>
      </c>
      <c r="T235" s="1">
        <v>1488892</v>
      </c>
      <c r="U235" s="1">
        <v>773163.24045000004</v>
      </c>
      <c r="V235" s="1">
        <v>1278309</v>
      </c>
      <c r="W235" s="1">
        <v>983746</v>
      </c>
      <c r="X235" s="1">
        <v>2210093</v>
      </c>
      <c r="Y235" s="1">
        <v>-111678</v>
      </c>
      <c r="Z235" s="1">
        <v>-164716</v>
      </c>
      <c r="AA235" s="1">
        <v>-148548</v>
      </c>
      <c r="AB235" s="1">
        <v>142858</v>
      </c>
      <c r="AC235" s="1">
        <v>812249</v>
      </c>
      <c r="AD235" s="2">
        <f t="shared" si="17"/>
        <v>0.3675180184725258</v>
      </c>
      <c r="AE235">
        <f t="shared" si="18"/>
        <v>0</v>
      </c>
      <c r="AF235" s="1">
        <v>1522</v>
      </c>
      <c r="AG235" s="1">
        <v>72304</v>
      </c>
      <c r="AH235" s="1">
        <v>2723043</v>
      </c>
      <c r="AI235" s="1">
        <v>1873061</v>
      </c>
      <c r="AJ235" s="1">
        <v>849982</v>
      </c>
      <c r="AK235" s="1">
        <v>1012162</v>
      </c>
      <c r="AL235" s="1">
        <v>1710881</v>
      </c>
    </row>
    <row r="236" spans="1:38" x14ac:dyDescent="0.2">
      <c r="A236">
        <v>264</v>
      </c>
      <c r="B236" t="s">
        <v>280</v>
      </c>
      <c r="C236" t="s">
        <v>736</v>
      </c>
      <c r="D236" t="s">
        <v>1029</v>
      </c>
      <c r="E236" t="s">
        <v>1201</v>
      </c>
      <c r="F236" t="s">
        <v>1310</v>
      </c>
      <c r="G236" s="7">
        <v>400</v>
      </c>
      <c r="H236" t="str">
        <f t="shared" si="19"/>
        <v>K</v>
      </c>
      <c r="I236" s="1">
        <v>1777155.76156</v>
      </c>
      <c r="J236" s="1">
        <v>144261.14618000001</v>
      </c>
      <c r="K236" s="1">
        <v>156612.33681000001</v>
      </c>
      <c r="L236" s="1">
        <v>126480.37172</v>
      </c>
      <c r="M236" s="1">
        <v>8032.50047</v>
      </c>
      <c r="N236" s="1">
        <v>14166</v>
      </c>
      <c r="O236" s="2">
        <f t="shared" si="15"/>
        <v>7.9711639837157459E-3</v>
      </c>
      <c r="P236">
        <f t="shared" si="16"/>
        <v>0</v>
      </c>
      <c r="Q236" s="1">
        <v>1095</v>
      </c>
      <c r="R236" s="1">
        <v>87955</v>
      </c>
      <c r="S236" s="1">
        <v>1253805.25987</v>
      </c>
      <c r="T236" s="1">
        <v>275583.03337999998</v>
      </c>
      <c r="U236" s="1">
        <v>978222.22649000003</v>
      </c>
      <c r="V236" s="1">
        <v>1091920.31063</v>
      </c>
      <c r="W236" s="1">
        <v>161884.94923999999</v>
      </c>
      <c r="X236" s="1">
        <v>2927156</v>
      </c>
      <c r="Y236" s="1">
        <v>217041</v>
      </c>
      <c r="Z236" s="1">
        <v>244341</v>
      </c>
      <c r="AA236" s="1">
        <v>194687</v>
      </c>
      <c r="AB236" s="1">
        <v>33388</v>
      </c>
      <c r="AC236" s="1">
        <v>78931</v>
      </c>
      <c r="AD236" s="2">
        <f t="shared" si="17"/>
        <v>2.6965081464739152E-2</v>
      </c>
      <c r="AE236">
        <f t="shared" si="18"/>
        <v>0</v>
      </c>
      <c r="AF236" s="1">
        <v>2017</v>
      </c>
      <c r="AG236" s="1">
        <v>234887</v>
      </c>
      <c r="AH236" s="1">
        <v>2811738</v>
      </c>
      <c r="AI236" s="1">
        <v>582050</v>
      </c>
      <c r="AJ236" s="1">
        <v>2229688</v>
      </c>
      <c r="AK236" s="1">
        <v>2381112</v>
      </c>
      <c r="AL236" s="1">
        <v>430626</v>
      </c>
    </row>
    <row r="237" spans="1:38" x14ac:dyDescent="0.2">
      <c r="A237">
        <v>265</v>
      </c>
      <c r="B237" t="s">
        <v>232</v>
      </c>
      <c r="C237" t="s">
        <v>688</v>
      </c>
      <c r="D237" t="s">
        <v>1045</v>
      </c>
      <c r="E237" t="s">
        <v>1219</v>
      </c>
      <c r="F237" t="s">
        <v>1309</v>
      </c>
      <c r="G237" s="7">
        <v>400</v>
      </c>
      <c r="H237" t="str">
        <f t="shared" si="19"/>
        <v>K</v>
      </c>
      <c r="I237" s="1">
        <v>1833975.3913799999</v>
      </c>
      <c r="J237" s="1">
        <v>23746.828020000001</v>
      </c>
      <c r="K237" s="1">
        <v>22703</v>
      </c>
      <c r="L237" s="1">
        <v>18661.359690000001</v>
      </c>
      <c r="M237" s="1">
        <v>10671.36673</v>
      </c>
      <c r="N237" s="1">
        <v>96966</v>
      </c>
      <c r="O237" s="2">
        <f t="shared" si="15"/>
        <v>5.2872028957289666E-2</v>
      </c>
      <c r="P237">
        <f t="shared" si="16"/>
        <v>0</v>
      </c>
      <c r="Q237" s="1">
        <v>920</v>
      </c>
      <c r="R237" s="1">
        <v>72339.659570000003</v>
      </c>
      <c r="S237" s="1">
        <v>654091</v>
      </c>
      <c r="T237" s="1">
        <v>96554</v>
      </c>
      <c r="U237" s="1">
        <v>557537</v>
      </c>
      <c r="V237" s="1">
        <v>119571.11027</v>
      </c>
      <c r="W237" s="1">
        <v>534520.49739999999</v>
      </c>
      <c r="X237" s="1">
        <v>3201318.6291700001</v>
      </c>
      <c r="Y237" s="1">
        <v>21908.840749999999</v>
      </c>
      <c r="Z237" s="1">
        <v>56277.354789999998</v>
      </c>
      <c r="AA237" s="1">
        <v>58678.650679999999</v>
      </c>
      <c r="AB237" s="1">
        <v>15319.87905</v>
      </c>
      <c r="AC237" s="1">
        <v>104986</v>
      </c>
      <c r="AD237" s="2">
        <f t="shared" si="17"/>
        <v>3.2794611271549541E-2</v>
      </c>
      <c r="AE237">
        <f t="shared" si="18"/>
        <v>0</v>
      </c>
      <c r="AF237" s="1">
        <v>1016</v>
      </c>
      <c r="AG237" s="1">
        <v>126552.06630999999</v>
      </c>
      <c r="AH237" s="1">
        <v>1420763.47269</v>
      </c>
      <c r="AI237" s="1">
        <v>170811.14152</v>
      </c>
      <c r="AJ237" s="1">
        <v>1249952.3311699999</v>
      </c>
      <c r="AK237" s="1">
        <v>407161.23638000002</v>
      </c>
      <c r="AL237" s="1">
        <v>1013602.2363099999</v>
      </c>
    </row>
    <row r="238" spans="1:38" x14ac:dyDescent="0.2">
      <c r="A238">
        <v>266</v>
      </c>
      <c r="B238" t="s">
        <v>228</v>
      </c>
      <c r="C238" t="s">
        <v>684</v>
      </c>
      <c r="D238" t="s">
        <v>1042</v>
      </c>
      <c r="E238" t="s">
        <v>1215</v>
      </c>
      <c r="F238" t="s">
        <v>1306</v>
      </c>
      <c r="G238" s="7">
        <v>500</v>
      </c>
      <c r="H238" t="str">
        <f t="shared" si="19"/>
        <v>Z</v>
      </c>
      <c r="I238" s="1">
        <v>1833366</v>
      </c>
      <c r="J238" s="1">
        <v>57151.38336</v>
      </c>
      <c r="K238" s="1">
        <v>56248.262150000002</v>
      </c>
      <c r="L238" s="1">
        <v>40499.049149999999</v>
      </c>
      <c r="M238" s="1">
        <v>16195.07396</v>
      </c>
      <c r="N238" s="1">
        <v>1829660</v>
      </c>
      <c r="O238" s="2">
        <f t="shared" si="15"/>
        <v>0.99797858147254825</v>
      </c>
      <c r="P238">
        <f t="shared" si="16"/>
        <v>1</v>
      </c>
      <c r="Q238" s="1">
        <v>3294</v>
      </c>
      <c r="R238" s="1">
        <v>203250</v>
      </c>
      <c r="S238" s="1">
        <v>1166658.42484</v>
      </c>
      <c r="T238" s="1">
        <v>272199.89848999999</v>
      </c>
      <c r="U238" s="1">
        <v>894458.52635000006</v>
      </c>
      <c r="V238" s="1">
        <v>586918.26939000003</v>
      </c>
      <c r="W238" s="1">
        <v>579740.15545000008</v>
      </c>
      <c r="X238" s="1">
        <v>3224069</v>
      </c>
      <c r="Y238" s="1">
        <v>26271</v>
      </c>
      <c r="Z238" s="1">
        <v>45465</v>
      </c>
      <c r="AA238" s="1">
        <v>45659</v>
      </c>
      <c r="AB238" s="1">
        <v>51362</v>
      </c>
      <c r="AC238" s="1">
        <v>3223746.5931000002</v>
      </c>
      <c r="AD238" s="2">
        <f t="shared" si="17"/>
        <v>0.99990000000000001</v>
      </c>
      <c r="AE238">
        <f t="shared" si="18"/>
        <v>1</v>
      </c>
      <c r="AF238" s="1">
        <v>3021</v>
      </c>
      <c r="AG238" s="1">
        <v>336498</v>
      </c>
      <c r="AH238" s="1">
        <v>1633634</v>
      </c>
      <c r="AI238" s="1">
        <v>335905</v>
      </c>
      <c r="AJ238" s="1">
        <v>1297729</v>
      </c>
      <c r="AK238" s="1">
        <v>806512</v>
      </c>
      <c r="AL238" s="1">
        <v>827122</v>
      </c>
    </row>
    <row r="239" spans="1:38" x14ac:dyDescent="0.2">
      <c r="A239">
        <v>267</v>
      </c>
      <c r="B239" t="s">
        <v>357</v>
      </c>
      <c r="C239" t="s">
        <v>814</v>
      </c>
      <c r="D239" t="s">
        <v>1050</v>
      </c>
      <c r="E239" t="s">
        <v>1223</v>
      </c>
      <c r="F239" t="s">
        <v>1305</v>
      </c>
      <c r="G239" s="7">
        <v>500</v>
      </c>
      <c r="H239" t="str">
        <f t="shared" si="19"/>
        <v>Z</v>
      </c>
      <c r="I239" s="1">
        <v>1831566</v>
      </c>
      <c r="J239" s="1">
        <v>45393</v>
      </c>
      <c r="K239" s="1">
        <v>46151</v>
      </c>
      <c r="L239" s="1">
        <v>33008</v>
      </c>
      <c r="M239" s="1">
        <v>98698</v>
      </c>
      <c r="N239" s="1">
        <v>116236</v>
      </c>
      <c r="O239" s="2">
        <f t="shared" si="15"/>
        <v>6.3462632523206913E-2</v>
      </c>
      <c r="P239">
        <f t="shared" si="16"/>
        <v>0</v>
      </c>
      <c r="Q239" s="1">
        <v>97</v>
      </c>
      <c r="R239" s="1">
        <v>18511</v>
      </c>
      <c r="S239" s="1">
        <v>870328</v>
      </c>
      <c r="T239" s="1">
        <v>451886</v>
      </c>
      <c r="U239" s="1">
        <v>418442</v>
      </c>
      <c r="V239" s="1">
        <v>243014</v>
      </c>
      <c r="W239" s="1">
        <v>627314</v>
      </c>
      <c r="X239" s="1">
        <v>1913132</v>
      </c>
      <c r="Y239" s="1">
        <v>37361</v>
      </c>
      <c r="Z239" s="1">
        <v>41673</v>
      </c>
      <c r="AA239" s="1">
        <v>34726</v>
      </c>
      <c r="AB239" s="1">
        <v>53751</v>
      </c>
      <c r="AC239" s="1">
        <v>51397</v>
      </c>
      <c r="AD239" s="2">
        <f t="shared" si="17"/>
        <v>2.6865370502401297E-2</v>
      </c>
      <c r="AE239">
        <f t="shared" si="18"/>
        <v>0</v>
      </c>
      <c r="AF239" s="1">
        <v>139</v>
      </c>
      <c r="AG239" s="1">
        <v>33280</v>
      </c>
      <c r="AH239" s="1">
        <v>852344</v>
      </c>
      <c r="AI239" s="1">
        <v>399052</v>
      </c>
      <c r="AJ239" s="1">
        <v>453292</v>
      </c>
      <c r="AK239" s="1">
        <v>448125</v>
      </c>
      <c r="AL239" s="1">
        <v>404219</v>
      </c>
    </row>
    <row r="240" spans="1:38" x14ac:dyDescent="0.2">
      <c r="A240">
        <v>268</v>
      </c>
      <c r="B240" t="s">
        <v>298</v>
      </c>
      <c r="C240" t="s">
        <v>754</v>
      </c>
      <c r="D240" t="s">
        <v>47</v>
      </c>
      <c r="E240" t="s">
        <v>1180</v>
      </c>
      <c r="F240" t="s">
        <v>1308</v>
      </c>
      <c r="G240" s="7">
        <v>500</v>
      </c>
      <c r="H240" t="str">
        <f t="shared" si="19"/>
        <v>Z</v>
      </c>
      <c r="I240" s="1">
        <v>1796603</v>
      </c>
      <c r="J240" s="1">
        <v>73981</v>
      </c>
      <c r="K240" s="1">
        <v>57292</v>
      </c>
      <c r="L240" s="1">
        <v>35655</v>
      </c>
      <c r="M240" s="1">
        <v>40724</v>
      </c>
      <c r="N240" s="1">
        <v>259128</v>
      </c>
      <c r="O240" s="2">
        <f t="shared" si="15"/>
        <v>0.14423219820962116</v>
      </c>
      <c r="P240">
        <f t="shared" si="16"/>
        <v>0</v>
      </c>
      <c r="Q240" s="1">
        <v>613</v>
      </c>
      <c r="R240" s="1">
        <v>46625</v>
      </c>
      <c r="S240" s="1">
        <v>883831</v>
      </c>
      <c r="T240" s="1">
        <v>358643</v>
      </c>
      <c r="U240" s="1">
        <v>525188</v>
      </c>
      <c r="V240" s="1">
        <v>484559</v>
      </c>
      <c r="W240" s="1">
        <v>399272</v>
      </c>
      <c r="X240" s="1">
        <v>2458638</v>
      </c>
      <c r="Y240" s="1">
        <v>96002</v>
      </c>
      <c r="Z240" s="1">
        <v>76939</v>
      </c>
      <c r="AA240" s="1">
        <v>105545</v>
      </c>
      <c r="AB240" s="1">
        <v>82536</v>
      </c>
      <c r="AC240" s="1">
        <v>172363</v>
      </c>
      <c r="AD240" s="2">
        <f t="shared" si="17"/>
        <v>7.0105074435520803E-2</v>
      </c>
      <c r="AE240">
        <f t="shared" si="18"/>
        <v>0</v>
      </c>
      <c r="AF240" s="1">
        <v>418</v>
      </c>
      <c r="AG240" s="1">
        <v>75378</v>
      </c>
      <c r="AH240" s="1">
        <v>910897</v>
      </c>
      <c r="AI240" s="1">
        <v>610014</v>
      </c>
      <c r="AJ240" s="1">
        <v>300883</v>
      </c>
      <c r="AK240" s="1">
        <v>583777</v>
      </c>
      <c r="AL240" s="1">
        <v>327120</v>
      </c>
    </row>
    <row r="241" spans="1:38" x14ac:dyDescent="0.2">
      <c r="A241">
        <v>269</v>
      </c>
      <c r="B241" t="s">
        <v>315</v>
      </c>
      <c r="C241" t="s">
        <v>771</v>
      </c>
      <c r="D241" t="s">
        <v>1029</v>
      </c>
      <c r="E241" t="s">
        <v>1201</v>
      </c>
      <c r="F241" t="s">
        <v>1310</v>
      </c>
      <c r="G241" s="7">
        <v>500</v>
      </c>
      <c r="H241" t="str">
        <f t="shared" si="19"/>
        <v>Z</v>
      </c>
      <c r="I241" s="1">
        <v>1823417.895</v>
      </c>
      <c r="J241" s="1">
        <v>102455.17200000001</v>
      </c>
      <c r="K241" s="1">
        <v>99719.118000000002</v>
      </c>
      <c r="L241" s="1">
        <v>75142.432000000001</v>
      </c>
      <c r="M241" s="1">
        <v>9701.0550000000003</v>
      </c>
      <c r="N241" s="1">
        <v>111368</v>
      </c>
      <c r="O241" s="2">
        <f t="shared" si="15"/>
        <v>6.1076509288069701E-2</v>
      </c>
      <c r="P241">
        <f t="shared" si="16"/>
        <v>0</v>
      </c>
      <c r="Q241" s="1">
        <v>588</v>
      </c>
      <c r="R241" s="1">
        <v>89040.426000000007</v>
      </c>
      <c r="S241" s="1">
        <v>640174</v>
      </c>
      <c r="T241" s="1">
        <v>144538</v>
      </c>
      <c r="U241" s="1">
        <v>495636</v>
      </c>
      <c r="V241" s="1">
        <v>345062</v>
      </c>
      <c r="W241" s="1">
        <v>295112.25599999999</v>
      </c>
      <c r="X241" s="1">
        <v>2307175</v>
      </c>
      <c r="Y241" s="1">
        <v>151454</v>
      </c>
      <c r="Z241" s="1">
        <v>177132</v>
      </c>
      <c r="AA241" s="1">
        <v>125732</v>
      </c>
      <c r="AB241" s="1">
        <v>15564</v>
      </c>
      <c r="AC241" s="1">
        <v>167461</v>
      </c>
      <c r="AD241" s="2">
        <f t="shared" si="17"/>
        <v>7.2582703956136835E-2</v>
      </c>
      <c r="AE241">
        <f t="shared" si="18"/>
        <v>0</v>
      </c>
      <c r="AF241" s="1">
        <v>586</v>
      </c>
      <c r="AG241" s="1">
        <v>135845</v>
      </c>
      <c r="AH241" s="1">
        <v>1132937</v>
      </c>
      <c r="AI241" s="1">
        <v>215775</v>
      </c>
      <c r="AJ241" s="1">
        <v>917162</v>
      </c>
      <c r="AK241" s="1">
        <v>678887</v>
      </c>
      <c r="AL241" s="1">
        <v>454050</v>
      </c>
    </row>
    <row r="242" spans="1:38" x14ac:dyDescent="0.2">
      <c r="A242">
        <v>270</v>
      </c>
      <c r="B242" t="s">
        <v>279</v>
      </c>
      <c r="C242" t="s">
        <v>735</v>
      </c>
      <c r="D242" t="s">
        <v>1036</v>
      </c>
      <c r="E242" t="s">
        <v>1210</v>
      </c>
      <c r="F242" t="s">
        <v>1305</v>
      </c>
      <c r="G242" s="7">
        <v>500</v>
      </c>
      <c r="H242" t="str">
        <f t="shared" si="19"/>
        <v>Z</v>
      </c>
      <c r="I242" s="1">
        <v>1814165</v>
      </c>
      <c r="J242" s="1">
        <v>43603</v>
      </c>
      <c r="K242" s="1">
        <v>45580</v>
      </c>
      <c r="L242" s="1">
        <v>34577</v>
      </c>
      <c r="M242" s="1">
        <v>62703</v>
      </c>
      <c r="N242" s="1">
        <v>1709627</v>
      </c>
      <c r="O242" s="2">
        <f t="shared" si="15"/>
        <v>0.94237679593642254</v>
      </c>
      <c r="P242">
        <f t="shared" si="16"/>
        <v>1</v>
      </c>
      <c r="Q242" s="1">
        <v>2364</v>
      </c>
      <c r="R242" s="1">
        <v>185420</v>
      </c>
      <c r="S242" s="1">
        <v>1006936</v>
      </c>
      <c r="T242" s="1">
        <v>599282</v>
      </c>
      <c r="U242" s="1">
        <v>407654</v>
      </c>
      <c r="V242" s="1">
        <v>524371</v>
      </c>
      <c r="W242" s="1">
        <v>482565</v>
      </c>
      <c r="X242" s="1">
        <v>2588963</v>
      </c>
      <c r="Y242" s="1">
        <v>-72942</v>
      </c>
      <c r="Z242" s="1">
        <v>-100972</v>
      </c>
      <c r="AA242" s="1">
        <v>-100972</v>
      </c>
      <c r="AB242" s="1">
        <v>76509</v>
      </c>
      <c r="AC242" s="1">
        <v>2501101</v>
      </c>
      <c r="AD242" s="2">
        <f t="shared" si="17"/>
        <v>0.96606285991727192</v>
      </c>
      <c r="AE242">
        <f t="shared" si="18"/>
        <v>1</v>
      </c>
      <c r="AF242" s="1">
        <v>2242</v>
      </c>
      <c r="AG242" s="1">
        <v>272461</v>
      </c>
      <c r="AH242" s="1">
        <v>1167311</v>
      </c>
      <c r="AI242" s="1">
        <v>554369</v>
      </c>
      <c r="AJ242" s="1">
        <v>612942</v>
      </c>
      <c r="AK242" s="1">
        <v>65536</v>
      </c>
      <c r="AL242" s="1">
        <v>1101775</v>
      </c>
    </row>
    <row r="243" spans="1:38" x14ac:dyDescent="0.2">
      <c r="A243">
        <v>271</v>
      </c>
      <c r="B243" t="s">
        <v>318</v>
      </c>
      <c r="C243" t="s">
        <v>774</v>
      </c>
      <c r="D243" t="s">
        <v>992</v>
      </c>
      <c r="E243" t="s">
        <v>1152</v>
      </c>
      <c r="F243" t="s">
        <v>1307</v>
      </c>
      <c r="G243" s="7">
        <v>500</v>
      </c>
      <c r="H243" t="str">
        <f t="shared" si="19"/>
        <v>Z</v>
      </c>
      <c r="I243" s="1">
        <v>1792902.8092100001</v>
      </c>
      <c r="J243" s="1">
        <v>51515.99368</v>
      </c>
      <c r="K243" s="1">
        <v>52079</v>
      </c>
      <c r="L243" s="1">
        <v>35907.690770000001</v>
      </c>
      <c r="M243" s="1">
        <v>363.07657</v>
      </c>
      <c r="N243" s="1">
        <v>1388813</v>
      </c>
      <c r="O243" s="2">
        <f t="shared" si="15"/>
        <v>0.77461700258696531</v>
      </c>
      <c r="P243">
        <f t="shared" si="16"/>
        <v>1</v>
      </c>
      <c r="Q243" s="1">
        <v>850</v>
      </c>
      <c r="R243" s="1">
        <v>30960.97335</v>
      </c>
      <c r="S243" s="1">
        <v>367278</v>
      </c>
      <c r="T243" s="1">
        <v>9005</v>
      </c>
      <c r="U243" s="1">
        <v>358273</v>
      </c>
      <c r="V243" s="1">
        <v>179757.25729000001</v>
      </c>
      <c r="W243" s="1">
        <v>187520.40820999999</v>
      </c>
      <c r="X243" s="1">
        <v>2276978.4037700002</v>
      </c>
      <c r="Y243" s="1">
        <v>158804.29232000001</v>
      </c>
      <c r="Z243" s="1">
        <v>164132.60860000001</v>
      </c>
      <c r="AA243" s="1">
        <v>133233.61718</v>
      </c>
      <c r="AB243" s="1">
        <v>581.34978000000001</v>
      </c>
      <c r="AC243" s="1">
        <v>1602351</v>
      </c>
      <c r="AD243" s="2">
        <f t="shared" si="17"/>
        <v>0.70371813687252482</v>
      </c>
      <c r="AE243">
        <f t="shared" si="18"/>
        <v>1</v>
      </c>
      <c r="AF243" s="1">
        <v>178</v>
      </c>
      <c r="AG243" s="1">
        <v>56306.303690000001</v>
      </c>
      <c r="AH243" s="1">
        <v>602599.23897000006</v>
      </c>
      <c r="AI243" s="1">
        <v>26094.302599999999</v>
      </c>
      <c r="AJ243" s="1">
        <v>576504.93637000001</v>
      </c>
      <c r="AK243" s="1">
        <v>350693.20452999999</v>
      </c>
      <c r="AL243" s="1">
        <v>251906.03443999999</v>
      </c>
    </row>
    <row r="244" spans="1:38" x14ac:dyDescent="0.2">
      <c r="A244">
        <v>272</v>
      </c>
      <c r="B244" t="s">
        <v>220</v>
      </c>
      <c r="C244" t="s">
        <v>676</v>
      </c>
      <c r="D244" t="s">
        <v>1040</v>
      </c>
      <c r="E244" t="s">
        <v>1213</v>
      </c>
      <c r="F244" t="s">
        <v>1308</v>
      </c>
      <c r="G244" s="7">
        <v>500</v>
      </c>
      <c r="H244" t="str">
        <f t="shared" si="19"/>
        <v>Z</v>
      </c>
      <c r="I244" s="1">
        <v>1792371</v>
      </c>
      <c r="J244" s="1">
        <v>79087</v>
      </c>
      <c r="K244" s="1">
        <v>80112</v>
      </c>
      <c r="L244" s="1">
        <v>68773</v>
      </c>
      <c r="M244" s="1">
        <v>128799</v>
      </c>
      <c r="N244" s="1">
        <v>668156</v>
      </c>
      <c r="O244" s="2">
        <f t="shared" si="15"/>
        <v>0.3727777340740282</v>
      </c>
      <c r="P244">
        <f t="shared" si="16"/>
        <v>0</v>
      </c>
      <c r="Q244" s="1">
        <v>3837</v>
      </c>
      <c r="R244" s="1">
        <v>305778</v>
      </c>
      <c r="S244" s="1">
        <v>2483346</v>
      </c>
      <c r="T244" s="1">
        <v>1988795</v>
      </c>
      <c r="U244" s="1">
        <v>494551</v>
      </c>
      <c r="V244" s="1">
        <v>1330028</v>
      </c>
      <c r="W244" s="1">
        <v>509734</v>
      </c>
      <c r="X244" s="1">
        <v>3389330</v>
      </c>
      <c r="Y244" s="1">
        <v>105966</v>
      </c>
      <c r="Z244" s="1">
        <v>133928</v>
      </c>
      <c r="AA244" s="1">
        <v>112514</v>
      </c>
      <c r="AB244" s="1">
        <v>146050</v>
      </c>
      <c r="AC244" s="1">
        <v>1064505</v>
      </c>
      <c r="AD244" s="2">
        <f t="shared" si="17"/>
        <v>0.31407534822516542</v>
      </c>
      <c r="AE244">
        <f t="shared" si="18"/>
        <v>0</v>
      </c>
      <c r="AF244" s="1">
        <v>3962</v>
      </c>
      <c r="AG244" s="1">
        <v>484704</v>
      </c>
      <c r="AH244" s="1">
        <v>3616079</v>
      </c>
      <c r="AI244" s="1">
        <v>2365418</v>
      </c>
      <c r="AJ244" s="1">
        <v>1250661</v>
      </c>
      <c r="AK244" s="1">
        <v>1871468</v>
      </c>
      <c r="AL244" s="1">
        <v>1744611</v>
      </c>
    </row>
    <row r="245" spans="1:38" x14ac:dyDescent="0.2">
      <c r="A245">
        <v>274</v>
      </c>
      <c r="B245" t="s">
        <v>304</v>
      </c>
      <c r="C245" t="s">
        <v>760</v>
      </c>
      <c r="D245" t="s">
        <v>1049</v>
      </c>
      <c r="E245" t="s">
        <v>1222</v>
      </c>
      <c r="F245" t="s">
        <v>1305</v>
      </c>
      <c r="G245" s="7">
        <v>500</v>
      </c>
      <c r="H245" t="str">
        <f t="shared" si="19"/>
        <v>Z</v>
      </c>
      <c r="I245" s="1">
        <v>1776480.1796899999</v>
      </c>
      <c r="J245" s="1">
        <v>201384.82045</v>
      </c>
      <c r="K245" s="1">
        <v>197333.43488999989</v>
      </c>
      <c r="L245" s="1">
        <v>195879.71489</v>
      </c>
      <c r="M245" s="1">
        <v>102437</v>
      </c>
      <c r="N245" s="1">
        <v>1589084</v>
      </c>
      <c r="O245" s="2">
        <f t="shared" si="15"/>
        <v>0.89451265382386591</v>
      </c>
      <c r="P245">
        <f t="shared" si="16"/>
        <v>1</v>
      </c>
      <c r="Q245" s="1">
        <v>4097</v>
      </c>
      <c r="R245" s="1">
        <v>412282</v>
      </c>
      <c r="S245" s="1">
        <v>1741249</v>
      </c>
      <c r="T245" s="1">
        <v>982396</v>
      </c>
      <c r="U245" s="1">
        <v>758853</v>
      </c>
      <c r="V245" s="1">
        <v>1262146</v>
      </c>
      <c r="W245" s="1">
        <v>479103.87874999997</v>
      </c>
      <c r="X245" s="1">
        <v>2423709.8002499999</v>
      </c>
      <c r="Y245" s="1">
        <v>370209.05647000001</v>
      </c>
      <c r="Z245" s="1">
        <v>401840.51117000001</v>
      </c>
      <c r="AA245" s="1">
        <v>332008.11317000003</v>
      </c>
      <c r="AB245" s="1">
        <v>88674</v>
      </c>
      <c r="AC245" s="1">
        <v>2143806</v>
      </c>
      <c r="AD245" s="2">
        <f t="shared" si="17"/>
        <v>0.88451430933640307</v>
      </c>
      <c r="AE245">
        <f t="shared" si="18"/>
        <v>1</v>
      </c>
      <c r="AF245" s="1">
        <v>3783</v>
      </c>
      <c r="AG245" s="1">
        <v>587861</v>
      </c>
      <c r="AH245" s="1">
        <v>2571674.1784299999</v>
      </c>
      <c r="AI245" s="1">
        <v>776351.12319000007</v>
      </c>
      <c r="AJ245" s="1">
        <v>1795323.0552399999</v>
      </c>
      <c r="AK245" s="1">
        <v>2088057.8993899999</v>
      </c>
      <c r="AL245" s="1">
        <v>483616.27903999999</v>
      </c>
    </row>
    <row r="246" spans="1:38" x14ac:dyDescent="0.2">
      <c r="A246">
        <v>275</v>
      </c>
      <c r="B246" t="s">
        <v>275</v>
      </c>
      <c r="C246" t="s">
        <v>731</v>
      </c>
      <c r="D246" t="s">
        <v>34</v>
      </c>
      <c r="E246" t="s">
        <v>1236</v>
      </c>
      <c r="F246" t="s">
        <v>1308</v>
      </c>
      <c r="G246" s="7">
        <v>450</v>
      </c>
      <c r="H246" t="str">
        <f t="shared" si="19"/>
        <v>K</v>
      </c>
      <c r="I246" s="1">
        <v>1762768</v>
      </c>
      <c r="J246" s="1">
        <v>16674</v>
      </c>
      <c r="K246" s="1">
        <v>20794.51944</v>
      </c>
      <c r="L246" s="1">
        <v>15840</v>
      </c>
      <c r="M246" s="1">
        <v>34522</v>
      </c>
      <c r="N246" s="1">
        <v>765692</v>
      </c>
      <c r="O246" s="2">
        <f t="shared" si="15"/>
        <v>0.43436912855236764</v>
      </c>
      <c r="P246">
        <f t="shared" si="16"/>
        <v>0</v>
      </c>
      <c r="Q246" s="1">
        <v>1540</v>
      </c>
      <c r="R246" s="1">
        <v>209922</v>
      </c>
      <c r="S246" s="1">
        <v>885173.54113000003</v>
      </c>
      <c r="T246" s="1">
        <v>356215.52114999999</v>
      </c>
      <c r="U246" s="1">
        <v>528958.01997999998</v>
      </c>
      <c r="V246" s="1">
        <v>540830</v>
      </c>
      <c r="W246" s="1">
        <v>344343.99261999998</v>
      </c>
      <c r="X246" s="1">
        <v>2685586.9934899998</v>
      </c>
      <c r="Y246" s="1">
        <v>45680.263720000003</v>
      </c>
      <c r="Z246" s="1">
        <v>37157.719219999999</v>
      </c>
      <c r="AA246" s="1">
        <v>32624.335220000001</v>
      </c>
      <c r="AB246" s="1">
        <v>48139</v>
      </c>
      <c r="AC246" s="1">
        <v>1203835</v>
      </c>
      <c r="AD246" s="2">
        <f t="shared" si="17"/>
        <v>0.44825768180965936</v>
      </c>
      <c r="AE246">
        <f t="shared" si="18"/>
        <v>0</v>
      </c>
      <c r="AF246" s="1">
        <v>1484</v>
      </c>
      <c r="AG246" s="1">
        <v>162744</v>
      </c>
      <c r="AH246" s="1">
        <v>1302152.7573200001</v>
      </c>
      <c r="AI246" s="1">
        <v>786069.13583000004</v>
      </c>
      <c r="AJ246" s="1">
        <v>516083.62148999999</v>
      </c>
      <c r="AK246" s="1">
        <v>661711.39922999998</v>
      </c>
      <c r="AL246" s="1">
        <v>640441.35808999999</v>
      </c>
    </row>
    <row r="247" spans="1:38" x14ac:dyDescent="0.2">
      <c r="A247">
        <v>276</v>
      </c>
      <c r="B247" t="s">
        <v>238</v>
      </c>
      <c r="C247" t="s">
        <v>694</v>
      </c>
      <c r="D247" t="s">
        <v>992</v>
      </c>
      <c r="E247" t="s">
        <v>1152</v>
      </c>
      <c r="F247" t="s">
        <v>1307</v>
      </c>
      <c r="G247" s="7">
        <v>500</v>
      </c>
      <c r="H247" t="str">
        <f t="shared" si="19"/>
        <v>Z</v>
      </c>
      <c r="I247" s="1">
        <v>1761409</v>
      </c>
      <c r="J247" s="1">
        <v>97162</v>
      </c>
      <c r="K247" s="1">
        <v>99341</v>
      </c>
      <c r="L247" s="1">
        <v>76535</v>
      </c>
      <c r="M247" s="1">
        <v>10128</v>
      </c>
      <c r="N247" s="1">
        <v>936338</v>
      </c>
      <c r="O247" s="2">
        <f t="shared" si="15"/>
        <v>0.53158465750998207</v>
      </c>
      <c r="P247">
        <f t="shared" si="16"/>
        <v>1</v>
      </c>
      <c r="Q247" s="1">
        <v>915</v>
      </c>
      <c r="R247" s="1">
        <v>224711</v>
      </c>
      <c r="S247" s="1">
        <v>1182460</v>
      </c>
      <c r="T247" s="1">
        <v>111244</v>
      </c>
      <c r="U247" s="1">
        <v>1071216</v>
      </c>
      <c r="V247" s="1">
        <v>393941</v>
      </c>
      <c r="W247" s="1">
        <v>788519</v>
      </c>
      <c r="X247" s="1">
        <v>3142586</v>
      </c>
      <c r="Y247" s="1">
        <v>117974</v>
      </c>
      <c r="Z247" s="1">
        <v>154451</v>
      </c>
      <c r="AA247" s="1">
        <v>116792</v>
      </c>
      <c r="AB247" s="1">
        <v>9832</v>
      </c>
      <c r="AC247" s="1">
        <v>1829220</v>
      </c>
      <c r="AD247" s="2">
        <f t="shared" si="17"/>
        <v>0.58207476263179436</v>
      </c>
      <c r="AE247">
        <f t="shared" si="18"/>
        <v>1</v>
      </c>
      <c r="AF247" s="1">
        <v>830</v>
      </c>
      <c r="AG247" s="1">
        <v>333952</v>
      </c>
      <c r="AH247" s="1">
        <v>1705823</v>
      </c>
      <c r="AI247" s="1">
        <v>86486</v>
      </c>
      <c r="AJ247" s="1">
        <v>1619337</v>
      </c>
      <c r="AK247" s="1">
        <v>925596</v>
      </c>
      <c r="AL247" s="1">
        <v>780227</v>
      </c>
    </row>
    <row r="248" spans="1:38" x14ac:dyDescent="0.2">
      <c r="A248">
        <v>277</v>
      </c>
      <c r="B248" t="s">
        <v>350</v>
      </c>
      <c r="C248" t="s">
        <v>807</v>
      </c>
      <c r="D248" t="s">
        <v>1036</v>
      </c>
      <c r="E248" t="s">
        <v>1210</v>
      </c>
      <c r="F248" t="s">
        <v>1305</v>
      </c>
      <c r="G248" s="7">
        <v>500</v>
      </c>
      <c r="H248" t="str">
        <f t="shared" si="19"/>
        <v>Z</v>
      </c>
      <c r="I248" s="1">
        <v>1770275.23067</v>
      </c>
      <c r="J248" s="1">
        <v>147197.67373999991</v>
      </c>
      <c r="K248" s="1">
        <v>142968.31748</v>
      </c>
      <c r="L248" s="1">
        <v>139389.27311999991</v>
      </c>
      <c r="M248" s="1">
        <v>61050.439149999991</v>
      </c>
      <c r="N248" s="1">
        <v>1605091.3388</v>
      </c>
      <c r="O248" s="2">
        <f t="shared" si="15"/>
        <v>0.90669027673878577</v>
      </c>
      <c r="P248">
        <f t="shared" si="16"/>
        <v>1</v>
      </c>
      <c r="Q248" s="1">
        <v>1627</v>
      </c>
      <c r="R248" s="1">
        <v>162135</v>
      </c>
      <c r="S248" s="1">
        <v>1116141</v>
      </c>
      <c r="T248" s="1">
        <v>495375</v>
      </c>
      <c r="U248" s="1">
        <v>620766</v>
      </c>
      <c r="V248" s="1">
        <v>663389.22398000024</v>
      </c>
      <c r="W248" s="1">
        <v>452761.81819000002</v>
      </c>
      <c r="X248" s="1">
        <v>2042299.0928100001</v>
      </c>
      <c r="Y248" s="1">
        <v>-57927.298029999998</v>
      </c>
      <c r="Z248" s="1">
        <v>-58670.339189999999</v>
      </c>
      <c r="AA248" s="1">
        <v>-65423.849759999997</v>
      </c>
      <c r="AB248" s="1">
        <v>75700</v>
      </c>
      <c r="AC248" s="1">
        <v>1969684</v>
      </c>
      <c r="AD248" s="2">
        <f t="shared" si="17"/>
        <v>0.96444443761168741</v>
      </c>
      <c r="AE248">
        <f t="shared" si="18"/>
        <v>1</v>
      </c>
      <c r="AF248" s="1">
        <v>1717</v>
      </c>
      <c r="AG248" s="1">
        <v>260086</v>
      </c>
      <c r="AH248" s="1">
        <v>1344068.3223900001</v>
      </c>
      <c r="AI248" s="1">
        <v>604599.25096000009</v>
      </c>
      <c r="AJ248" s="1">
        <v>739469.07142999989</v>
      </c>
      <c r="AK248" s="1">
        <v>802669.95570000005</v>
      </c>
      <c r="AL248" s="1">
        <v>541409.01569000003</v>
      </c>
    </row>
    <row r="249" spans="1:38" x14ac:dyDescent="0.2">
      <c r="A249">
        <v>278</v>
      </c>
      <c r="B249" t="s">
        <v>201</v>
      </c>
      <c r="C249" t="s">
        <v>657</v>
      </c>
      <c r="D249" t="s">
        <v>982</v>
      </c>
      <c r="E249" t="s">
        <v>1146</v>
      </c>
      <c r="F249" t="s">
        <v>1300</v>
      </c>
      <c r="G249" s="7">
        <v>200</v>
      </c>
      <c r="H249" t="str">
        <f t="shared" si="19"/>
        <v>K</v>
      </c>
      <c r="I249" s="1">
        <v>3195065</v>
      </c>
      <c r="J249" s="1">
        <v>15719</v>
      </c>
      <c r="K249" s="1">
        <v>-595532</v>
      </c>
      <c r="L249" s="1">
        <v>-611370</v>
      </c>
      <c r="M249" s="1">
        <v>138228</v>
      </c>
      <c r="N249" s="1">
        <v>837417</v>
      </c>
      <c r="O249" s="2">
        <f t="shared" si="15"/>
        <v>0.26209701524069151</v>
      </c>
      <c r="P249">
        <f t="shared" si="16"/>
        <v>0</v>
      </c>
      <c r="Q249" s="1">
        <v>5705</v>
      </c>
      <c r="R249" s="1">
        <v>607851</v>
      </c>
      <c r="S249" s="1">
        <v>3679752</v>
      </c>
      <c r="T249" s="1">
        <v>2014544</v>
      </c>
      <c r="U249" s="1">
        <v>1665208</v>
      </c>
      <c r="V249" s="1">
        <v>2432843</v>
      </c>
      <c r="W249" s="1">
        <v>705391</v>
      </c>
      <c r="X249" s="1">
        <v>3883827</v>
      </c>
      <c r="Y249" s="1">
        <v>-46565</v>
      </c>
      <c r="Z249" s="1">
        <v>-63441</v>
      </c>
      <c r="AA249" s="1">
        <v>-66936</v>
      </c>
      <c r="AB249" s="1">
        <v>120674</v>
      </c>
      <c r="AC249" s="1">
        <v>567685</v>
      </c>
      <c r="AD249" s="2">
        <f t="shared" si="17"/>
        <v>0.14616639721594191</v>
      </c>
      <c r="AE249">
        <f t="shared" si="18"/>
        <v>0</v>
      </c>
      <c r="AF249" s="1">
        <v>2668</v>
      </c>
      <c r="AG249" s="1">
        <v>443456</v>
      </c>
      <c r="AH249" s="1">
        <v>4198703</v>
      </c>
      <c r="AI249" s="1">
        <v>1466368</v>
      </c>
      <c r="AJ249" s="1">
        <v>2732335</v>
      </c>
      <c r="AK249" s="1">
        <v>2700843</v>
      </c>
      <c r="AL249" s="1">
        <v>1390763</v>
      </c>
    </row>
    <row r="250" spans="1:38" x14ac:dyDescent="0.2">
      <c r="A250">
        <v>279</v>
      </c>
      <c r="B250" t="s">
        <v>211</v>
      </c>
      <c r="C250" t="s">
        <v>667</v>
      </c>
      <c r="D250" t="s">
        <v>1034</v>
      </c>
      <c r="E250" t="s">
        <v>1208</v>
      </c>
      <c r="F250" t="s">
        <v>1304</v>
      </c>
      <c r="G250" s="7">
        <v>400</v>
      </c>
      <c r="H250" t="str">
        <f t="shared" si="19"/>
        <v>K</v>
      </c>
      <c r="I250" s="1">
        <v>1761769.75578</v>
      </c>
      <c r="J250" s="1">
        <v>42652.818890000002</v>
      </c>
      <c r="K250" s="1">
        <v>34033.741629999997</v>
      </c>
      <c r="L250" s="1">
        <v>28037.198629999999</v>
      </c>
      <c r="M250" s="1">
        <v>15165.240959999999</v>
      </c>
      <c r="N250" s="1">
        <v>46679</v>
      </c>
      <c r="O250" s="2">
        <f t="shared" si="15"/>
        <v>2.6495516708046504E-2</v>
      </c>
      <c r="P250">
        <f t="shared" si="16"/>
        <v>0</v>
      </c>
      <c r="Q250" s="1">
        <v>460</v>
      </c>
      <c r="R250" s="1">
        <v>43169.536070000002</v>
      </c>
      <c r="S250" s="1">
        <v>801355.33152000001</v>
      </c>
      <c r="T250" s="1">
        <v>191516.41995000001</v>
      </c>
      <c r="U250" s="1">
        <v>609838.91157</v>
      </c>
      <c r="V250" s="1">
        <v>229832.23024</v>
      </c>
      <c r="W250" s="1">
        <v>571523.10127999994</v>
      </c>
      <c r="X250" s="1">
        <v>3620566.7343899999</v>
      </c>
      <c r="Y250" s="1">
        <v>43673.31295</v>
      </c>
      <c r="Z250" s="1">
        <v>36952.452799999999</v>
      </c>
      <c r="AA250" s="1">
        <v>36340.407799999994</v>
      </c>
      <c r="AB250" s="1">
        <v>30460.275549999998</v>
      </c>
      <c r="AC250" s="1">
        <v>264736</v>
      </c>
      <c r="AD250" s="2">
        <f t="shared" si="17"/>
        <v>7.3120044297319997E-2</v>
      </c>
      <c r="AE250">
        <f t="shared" si="18"/>
        <v>0</v>
      </c>
      <c r="AF250" s="1">
        <v>586</v>
      </c>
      <c r="AG250" s="1">
        <v>91195.117750000005</v>
      </c>
      <c r="AH250" s="1">
        <v>1216197.1533600001</v>
      </c>
      <c r="AI250" s="1">
        <v>415782.00939999998</v>
      </c>
      <c r="AJ250" s="1">
        <v>800415.14396000002</v>
      </c>
      <c r="AK250" s="1">
        <v>599300.92565999995</v>
      </c>
      <c r="AL250" s="1">
        <v>616896.22770000005</v>
      </c>
    </row>
    <row r="251" spans="1:38" x14ac:dyDescent="0.2">
      <c r="A251">
        <v>280</v>
      </c>
      <c r="B251" t="s">
        <v>403</v>
      </c>
      <c r="C251" t="s">
        <v>860</v>
      </c>
      <c r="D251" t="s">
        <v>1036</v>
      </c>
      <c r="E251" t="s">
        <v>1210</v>
      </c>
      <c r="F251" t="s">
        <v>1305</v>
      </c>
      <c r="G251" s="7">
        <v>500</v>
      </c>
      <c r="H251" t="str">
        <f t="shared" si="19"/>
        <v>Z</v>
      </c>
      <c r="I251" s="1">
        <v>1756177</v>
      </c>
      <c r="J251" s="1">
        <v>87820</v>
      </c>
      <c r="K251" s="1">
        <v>89689</v>
      </c>
      <c r="L251" s="1">
        <v>80932</v>
      </c>
      <c r="M251" s="1">
        <v>37319</v>
      </c>
      <c r="N251" s="1">
        <v>1565583</v>
      </c>
      <c r="O251" s="2">
        <f t="shared" si="15"/>
        <v>0.89147221493049955</v>
      </c>
      <c r="P251">
        <f t="shared" si="16"/>
        <v>1</v>
      </c>
      <c r="Q251" s="1">
        <v>2252</v>
      </c>
      <c r="R251" s="1">
        <v>191489</v>
      </c>
      <c r="S251" s="1">
        <v>751654</v>
      </c>
      <c r="T251" s="1">
        <v>299795</v>
      </c>
      <c r="U251" s="1">
        <v>451859</v>
      </c>
      <c r="V251" s="1">
        <v>428826</v>
      </c>
      <c r="W251" s="1">
        <v>322827.96091999998</v>
      </c>
      <c r="X251" s="1">
        <v>1589711.45101</v>
      </c>
      <c r="Y251" s="1">
        <v>78319.418959999995</v>
      </c>
      <c r="Z251" s="1">
        <v>105184.27581000001</v>
      </c>
      <c r="AA251" s="1">
        <v>90976.562810000003</v>
      </c>
      <c r="AB251" s="1">
        <v>41970</v>
      </c>
      <c r="AC251" s="1">
        <v>1491672</v>
      </c>
      <c r="AD251" s="2">
        <f t="shared" si="17"/>
        <v>0.93832877598779829</v>
      </c>
      <c r="AE251">
        <f t="shared" si="18"/>
        <v>1</v>
      </c>
      <c r="AF251" s="1">
        <v>1936</v>
      </c>
      <c r="AG251" s="1">
        <v>249591</v>
      </c>
      <c r="AH251" s="1">
        <v>1125278.94368</v>
      </c>
      <c r="AI251" s="1">
        <v>214559.74212000001</v>
      </c>
      <c r="AJ251" s="1">
        <v>910719.20155999996</v>
      </c>
      <c r="AK251" s="1">
        <v>774085.79836999997</v>
      </c>
      <c r="AL251" s="1">
        <v>351193.14530999999</v>
      </c>
    </row>
    <row r="252" spans="1:38" x14ac:dyDescent="0.2">
      <c r="A252">
        <v>281</v>
      </c>
      <c r="B252" t="s">
        <v>340</v>
      </c>
      <c r="C252" t="s">
        <v>797</v>
      </c>
      <c r="D252" t="s">
        <v>1032</v>
      </c>
      <c r="E252" t="s">
        <v>1204</v>
      </c>
      <c r="F252" t="s">
        <v>1311</v>
      </c>
      <c r="G252" s="7">
        <v>540</v>
      </c>
      <c r="H252" t="str">
        <f t="shared" si="19"/>
        <v>Z</v>
      </c>
      <c r="I252" s="1">
        <v>1752785</v>
      </c>
      <c r="J252" s="1">
        <v>51927</v>
      </c>
      <c r="K252" s="1">
        <v>50909</v>
      </c>
      <c r="L252" s="1">
        <v>38518</v>
      </c>
      <c r="M252" s="1">
        <v>16799</v>
      </c>
      <c r="N252" s="1">
        <v>853895</v>
      </c>
      <c r="O252" s="2">
        <f t="shared" si="15"/>
        <v>0.48716471215807988</v>
      </c>
      <c r="P252">
        <f t="shared" si="16"/>
        <v>0</v>
      </c>
      <c r="Q252" s="1">
        <v>2491</v>
      </c>
      <c r="R252" s="1">
        <v>210696.88080000001</v>
      </c>
      <c r="S252" s="1">
        <v>623987</v>
      </c>
      <c r="T252" s="1">
        <v>203962</v>
      </c>
      <c r="U252" s="1">
        <v>420025</v>
      </c>
      <c r="V252" s="1">
        <v>306680</v>
      </c>
      <c r="W252" s="1">
        <v>317307.43018999998</v>
      </c>
      <c r="X252" s="1">
        <v>2128693.2736599999</v>
      </c>
      <c r="Y252" s="1">
        <v>61267.969729999997</v>
      </c>
      <c r="Z252" s="1">
        <v>66557.437210000004</v>
      </c>
      <c r="AA252" s="1">
        <v>73652.79221</v>
      </c>
      <c r="AB252" s="1">
        <v>29398.666529999999</v>
      </c>
      <c r="AC252" s="1">
        <v>1193761</v>
      </c>
      <c r="AD252" s="2">
        <f t="shared" si="17"/>
        <v>0.56079521402700239</v>
      </c>
      <c r="AE252">
        <f t="shared" si="18"/>
        <v>1</v>
      </c>
      <c r="AF252" s="1">
        <v>2058</v>
      </c>
      <c r="AG252" s="1">
        <v>278769.28589</v>
      </c>
      <c r="AH252" s="1">
        <v>956298.37155000004</v>
      </c>
      <c r="AI252" s="1">
        <v>417476.85486999998</v>
      </c>
      <c r="AJ252" s="1">
        <v>538821.51668</v>
      </c>
      <c r="AK252" s="1">
        <v>474987.40242</v>
      </c>
      <c r="AL252" s="1">
        <v>481310.96912999998</v>
      </c>
    </row>
    <row r="253" spans="1:38" x14ac:dyDescent="0.2">
      <c r="A253">
        <v>283</v>
      </c>
      <c r="B253" t="s">
        <v>193</v>
      </c>
      <c r="C253" t="s">
        <v>649</v>
      </c>
      <c r="D253" t="s">
        <v>1007</v>
      </c>
      <c r="E253" t="s">
        <v>1169</v>
      </c>
      <c r="F253" t="s">
        <v>1220</v>
      </c>
      <c r="G253" s="7">
        <v>400</v>
      </c>
      <c r="H253" t="str">
        <f t="shared" si="19"/>
        <v>K</v>
      </c>
      <c r="I253" s="1">
        <v>1745960</v>
      </c>
      <c r="J253" s="1">
        <v>38809</v>
      </c>
      <c r="K253" s="1">
        <v>35510</v>
      </c>
      <c r="L253" s="1">
        <v>28595</v>
      </c>
      <c r="M253" s="1">
        <v>17278</v>
      </c>
      <c r="N253" s="1">
        <v>20018</v>
      </c>
      <c r="O253" s="2">
        <f t="shared" si="15"/>
        <v>1.1465325666109189E-2</v>
      </c>
      <c r="P253">
        <f t="shared" si="16"/>
        <v>0</v>
      </c>
      <c r="Q253" s="1"/>
      <c r="R253" s="1">
        <v>72554</v>
      </c>
      <c r="S253" s="1">
        <v>507288</v>
      </c>
      <c r="T253" s="1">
        <v>219854</v>
      </c>
      <c r="U253" s="1">
        <v>287434</v>
      </c>
      <c r="V253" s="1">
        <v>126686</v>
      </c>
      <c r="W253" s="1">
        <v>378602</v>
      </c>
      <c r="X253" s="1">
        <v>4068063</v>
      </c>
      <c r="Y253" s="1">
        <v>353675</v>
      </c>
      <c r="Z253" s="1">
        <v>353573</v>
      </c>
      <c r="AA253" s="1">
        <v>283053</v>
      </c>
      <c r="AB253" s="1">
        <v>22454</v>
      </c>
      <c r="AC253" s="1">
        <v>212861</v>
      </c>
      <c r="AD253" s="2">
        <f t="shared" si="17"/>
        <v>5.2324902539611605E-2</v>
      </c>
      <c r="AE253">
        <f t="shared" si="18"/>
        <v>0</v>
      </c>
      <c r="AF253" s="1">
        <v>1143</v>
      </c>
      <c r="AG253" s="1">
        <v>169125</v>
      </c>
      <c r="AH253" s="1">
        <v>1299243</v>
      </c>
      <c r="AI253" s="1">
        <v>512506</v>
      </c>
      <c r="AJ253" s="1">
        <v>786737</v>
      </c>
      <c r="AK253" s="1">
        <v>451212</v>
      </c>
      <c r="AL253" s="1">
        <v>848031</v>
      </c>
    </row>
    <row r="254" spans="1:38" x14ac:dyDescent="0.2">
      <c r="A254">
        <v>284</v>
      </c>
      <c r="B254" t="s">
        <v>68</v>
      </c>
      <c r="C254" t="s">
        <v>524</v>
      </c>
      <c r="D254" t="s">
        <v>973</v>
      </c>
      <c r="E254" t="s">
        <v>1130</v>
      </c>
      <c r="F254" t="s">
        <v>1304</v>
      </c>
      <c r="G254" s="7">
        <v>400</v>
      </c>
      <c r="H254" t="str">
        <f t="shared" si="19"/>
        <v>K</v>
      </c>
      <c r="I254" s="1">
        <v>1745562</v>
      </c>
      <c r="J254" s="1">
        <v>36462</v>
      </c>
      <c r="K254" s="1">
        <v>33400</v>
      </c>
      <c r="L254" s="1">
        <v>27227</v>
      </c>
      <c r="M254" s="1">
        <v>14977</v>
      </c>
      <c r="N254" s="1">
        <v>4637</v>
      </c>
      <c r="O254" s="2">
        <f t="shared" si="15"/>
        <v>2.6564510455658408E-3</v>
      </c>
      <c r="P254">
        <f t="shared" si="16"/>
        <v>0</v>
      </c>
      <c r="Q254" s="1">
        <v>4207</v>
      </c>
      <c r="R254" s="1">
        <v>193393</v>
      </c>
      <c r="S254" s="1">
        <v>547148</v>
      </c>
      <c r="T254" s="1">
        <v>116991</v>
      </c>
      <c r="U254" s="1">
        <v>430157</v>
      </c>
      <c r="V254" s="1">
        <v>242442</v>
      </c>
      <c r="W254" s="1">
        <v>283465</v>
      </c>
      <c r="X254" s="1">
        <v>24132197.175999999</v>
      </c>
      <c r="Y254" s="1">
        <v>66607.133000000002</v>
      </c>
      <c r="Z254" s="1">
        <v>57457.383999999998</v>
      </c>
      <c r="AA254" s="1">
        <v>45751.673000000003</v>
      </c>
      <c r="AB254" s="1">
        <v>29832.953000000001</v>
      </c>
      <c r="AC254" s="1">
        <v>2378.6799999999998</v>
      </c>
      <c r="AD254" s="2">
        <f t="shared" si="17"/>
        <v>9.8568728850170737E-5</v>
      </c>
      <c r="AE254">
        <f t="shared" si="18"/>
        <v>0</v>
      </c>
      <c r="AF254" s="1">
        <v>3736</v>
      </c>
      <c r="AG254" s="1">
        <v>312320.18479999999</v>
      </c>
      <c r="AH254" s="1">
        <v>972673.51899999997</v>
      </c>
      <c r="AI254" s="1">
        <v>182560.88500000001</v>
      </c>
      <c r="AJ254" s="1">
        <v>790112.63399999996</v>
      </c>
      <c r="AK254" s="1">
        <v>494607.78399999999</v>
      </c>
      <c r="AL254" s="1">
        <v>464102.73226999998</v>
      </c>
    </row>
    <row r="255" spans="1:38" x14ac:dyDescent="0.2">
      <c r="A255">
        <v>285</v>
      </c>
      <c r="B255" t="s">
        <v>163</v>
      </c>
      <c r="C255" t="s">
        <v>619</v>
      </c>
      <c r="D255" t="s">
        <v>1018</v>
      </c>
      <c r="E255" t="s">
        <v>1184</v>
      </c>
      <c r="F255" t="s">
        <v>1294</v>
      </c>
      <c r="G255" s="7">
        <v>400</v>
      </c>
      <c r="H255" t="str">
        <f t="shared" si="19"/>
        <v>K</v>
      </c>
      <c r="I255" s="1">
        <v>1736271.8285999999</v>
      </c>
      <c r="J255" s="1">
        <v>81339</v>
      </c>
      <c r="K255" s="1">
        <v>78983</v>
      </c>
      <c r="L255" s="1">
        <v>63907</v>
      </c>
      <c r="M255" s="1">
        <v>52390</v>
      </c>
      <c r="N255" s="1">
        <v>1391004</v>
      </c>
      <c r="O255" s="2">
        <f t="shared" si="15"/>
        <v>0.80114413946438434</v>
      </c>
      <c r="P255">
        <f t="shared" si="16"/>
        <v>1</v>
      </c>
      <c r="Q255" s="1">
        <v>6787</v>
      </c>
      <c r="R255" s="1">
        <v>506142.14289999998</v>
      </c>
      <c r="S255" s="1">
        <v>951807</v>
      </c>
      <c r="T255" s="1">
        <v>740172</v>
      </c>
      <c r="U255" s="1">
        <v>211635</v>
      </c>
      <c r="V255" s="1">
        <v>306589</v>
      </c>
      <c r="W255" s="1">
        <v>645218.27241999994</v>
      </c>
      <c r="X255" s="1">
        <v>4954317</v>
      </c>
      <c r="Y255" s="1">
        <v>159243</v>
      </c>
      <c r="Z255" s="1">
        <v>118699</v>
      </c>
      <c r="AA255" s="1">
        <v>100165</v>
      </c>
      <c r="AB255" s="1">
        <v>315723</v>
      </c>
      <c r="AC255" s="1">
        <v>3965306</v>
      </c>
      <c r="AD255" s="2">
        <f t="shared" si="17"/>
        <v>0.80037389613946786</v>
      </c>
      <c r="AE255">
        <f t="shared" si="18"/>
        <v>1</v>
      </c>
      <c r="AF255" s="1">
        <v>13324</v>
      </c>
      <c r="AG255" s="1">
        <v>1623516</v>
      </c>
      <c r="AH255" s="1">
        <v>4437248</v>
      </c>
      <c r="AI255" s="1">
        <v>3792381</v>
      </c>
      <c r="AJ255" s="1">
        <v>644867</v>
      </c>
      <c r="AK255" s="1">
        <v>1637118</v>
      </c>
      <c r="AL255" s="1">
        <v>2800130</v>
      </c>
    </row>
    <row r="256" spans="1:38" x14ac:dyDescent="0.2">
      <c r="A256">
        <v>287</v>
      </c>
      <c r="B256" t="s">
        <v>498</v>
      </c>
      <c r="C256" t="s">
        <v>952</v>
      </c>
      <c r="D256" t="s">
        <v>1022</v>
      </c>
      <c r="E256" t="s">
        <v>1137</v>
      </c>
      <c r="F256" t="s">
        <v>1304</v>
      </c>
      <c r="G256" s="7">
        <v>450</v>
      </c>
      <c r="H256" t="str">
        <f t="shared" si="19"/>
        <v>K</v>
      </c>
      <c r="I256" s="1">
        <v>1656673.3317100001</v>
      </c>
      <c r="J256" s="1">
        <v>4350.8982500000002</v>
      </c>
      <c r="K256" s="1">
        <v>-244.19874999999999</v>
      </c>
      <c r="L256" s="1">
        <v>-6583.65344</v>
      </c>
      <c r="M256" s="1">
        <v>3164</v>
      </c>
      <c r="N256" s="1">
        <v>209</v>
      </c>
      <c r="O256" s="2">
        <f t="shared" si="15"/>
        <v>1.2615643410175047E-4</v>
      </c>
      <c r="P256">
        <f t="shared" si="16"/>
        <v>0</v>
      </c>
      <c r="Q256" s="1">
        <v>398</v>
      </c>
      <c r="R256" s="1">
        <v>23039</v>
      </c>
      <c r="S256" s="1">
        <v>240683.90762000001</v>
      </c>
      <c r="T256" s="1">
        <v>141865.62257000001</v>
      </c>
      <c r="U256" s="1">
        <v>98818.285050000006</v>
      </c>
      <c r="V256" s="1">
        <v>105739.28865</v>
      </c>
      <c r="W256" s="1">
        <v>134944.61897000001</v>
      </c>
      <c r="X256" s="1">
        <v>13514.650879999999</v>
      </c>
      <c r="Y256" s="1">
        <v>-1413.1848600000001</v>
      </c>
      <c r="Z256" s="1">
        <v>-727.05540000000008</v>
      </c>
      <c r="AA256" s="1">
        <v>-951.70744000000002</v>
      </c>
      <c r="AB256" s="1">
        <v>367</v>
      </c>
      <c r="AC256" s="1">
        <v>0</v>
      </c>
      <c r="AD256" s="2">
        <f t="shared" si="17"/>
        <v>0</v>
      </c>
      <c r="AE256">
        <f t="shared" si="18"/>
        <v>0</v>
      </c>
      <c r="AF256" s="1">
        <v>31</v>
      </c>
      <c r="AG256" s="1">
        <v>3290.6</v>
      </c>
      <c r="AH256" s="1">
        <v>121413.8781</v>
      </c>
      <c r="AI256" s="1">
        <v>105925.46146000001</v>
      </c>
      <c r="AJ256" s="1">
        <v>15488.416639999999</v>
      </c>
      <c r="AK256" s="1">
        <v>92329.07213</v>
      </c>
      <c r="AL256" s="1">
        <v>29084.805970000001</v>
      </c>
    </row>
    <row r="257" spans="1:38" x14ac:dyDescent="0.2">
      <c r="A257">
        <v>288</v>
      </c>
      <c r="B257" t="s">
        <v>398</v>
      </c>
      <c r="C257" t="s">
        <v>855</v>
      </c>
      <c r="D257" t="s">
        <v>1092</v>
      </c>
      <c r="E257" t="s">
        <v>1268</v>
      </c>
      <c r="F257" t="s">
        <v>1311</v>
      </c>
      <c r="G257" s="7">
        <v>100</v>
      </c>
      <c r="H257" t="str">
        <f t="shared" si="19"/>
        <v>K</v>
      </c>
      <c r="I257" s="1">
        <v>1057947.1307000001</v>
      </c>
      <c r="J257" s="1">
        <v>478054.25842000003</v>
      </c>
      <c r="K257" s="1">
        <v>457441.56086999999</v>
      </c>
      <c r="L257" s="1">
        <v>356301.76286999998</v>
      </c>
      <c r="M257" s="1">
        <v>145032.88245</v>
      </c>
      <c r="N257" s="1">
        <v>753461</v>
      </c>
      <c r="O257" s="2">
        <f t="shared" si="15"/>
        <v>0.71219154354288561</v>
      </c>
      <c r="P257">
        <f t="shared" si="16"/>
        <v>1</v>
      </c>
      <c r="Q257" s="1">
        <v>5446</v>
      </c>
      <c r="R257" s="1">
        <v>224619.6801</v>
      </c>
      <c r="S257" s="1">
        <v>3396967.0316599999</v>
      </c>
      <c r="T257" s="1">
        <v>2569751.8297600001</v>
      </c>
      <c r="U257" s="1">
        <v>827215.20189999999</v>
      </c>
      <c r="V257" s="1">
        <v>2724409.2385200001</v>
      </c>
      <c r="W257" s="1">
        <v>672557.79313999997</v>
      </c>
      <c r="X257" s="1">
        <v>1626097.24178</v>
      </c>
      <c r="Y257" s="1">
        <v>593002.02565999993</v>
      </c>
      <c r="Z257" s="1">
        <v>770568.07345000003</v>
      </c>
      <c r="AA257" s="1">
        <v>644772.11845000007</v>
      </c>
      <c r="AB257" s="1">
        <v>190597.51298999999</v>
      </c>
      <c r="AC257" s="1">
        <v>856333</v>
      </c>
      <c r="AD257" s="2">
        <f t="shared" si="17"/>
        <v>0.52661856744964342</v>
      </c>
      <c r="AE257">
        <f t="shared" si="18"/>
        <v>1</v>
      </c>
      <c r="AF257" s="1">
        <v>2386</v>
      </c>
      <c r="AG257" s="1">
        <v>494555.75154000003</v>
      </c>
      <c r="AH257" s="1">
        <v>7057771.2417099997</v>
      </c>
      <c r="AI257" s="1">
        <v>5518396.7469499996</v>
      </c>
      <c r="AJ257" s="1">
        <v>1539374.4947599999</v>
      </c>
      <c r="AK257" s="1">
        <v>6413850.1363399997</v>
      </c>
      <c r="AL257" s="1">
        <v>643921.10537</v>
      </c>
    </row>
    <row r="258" spans="1:38" x14ac:dyDescent="0.2">
      <c r="A258">
        <v>290</v>
      </c>
      <c r="B258" t="s">
        <v>499</v>
      </c>
      <c r="C258" t="s">
        <v>953</v>
      </c>
      <c r="D258" t="s">
        <v>974</v>
      </c>
      <c r="E258" t="s">
        <v>1131</v>
      </c>
      <c r="F258" t="s">
        <v>1305</v>
      </c>
      <c r="G258" s="7">
        <v>400</v>
      </c>
      <c r="H258" t="str">
        <f t="shared" si="19"/>
        <v>K</v>
      </c>
      <c r="I258" s="1">
        <v>1724533.51676</v>
      </c>
      <c r="J258" s="1">
        <v>32956.55085</v>
      </c>
      <c r="K258" s="1">
        <v>30167.658149999999</v>
      </c>
      <c r="L258" s="1">
        <v>30167.658149999999</v>
      </c>
      <c r="M258" s="1">
        <v>12775.568090000001</v>
      </c>
      <c r="N258" s="1">
        <v>55633</v>
      </c>
      <c r="O258" s="2">
        <f t="shared" ref="O258:O321" si="20">IF(I258=0,0,N258/I258)</f>
        <v>3.225973833464342E-2</v>
      </c>
      <c r="P258">
        <f t="shared" ref="P258:P321" si="21">IF(O258&gt;50%,1,0)</f>
        <v>0</v>
      </c>
      <c r="Q258" s="1">
        <v>684</v>
      </c>
      <c r="R258" s="1">
        <v>33205</v>
      </c>
      <c r="S258" s="1">
        <v>597899</v>
      </c>
      <c r="T258" s="1">
        <v>151452</v>
      </c>
      <c r="U258" s="1">
        <v>446447</v>
      </c>
      <c r="V258" s="1">
        <v>107212</v>
      </c>
      <c r="W258" s="1">
        <v>490686.924</v>
      </c>
      <c r="X258" s="1">
        <v>4980569</v>
      </c>
      <c r="Y258" s="1">
        <v>149208</v>
      </c>
      <c r="Z258" s="1">
        <v>103527</v>
      </c>
      <c r="AA258" s="1">
        <v>50985</v>
      </c>
      <c r="AB258" s="1">
        <v>33189</v>
      </c>
      <c r="AC258" s="1">
        <v>25491</v>
      </c>
      <c r="AD258" s="2">
        <f t="shared" ref="AD258:AD321" si="22">IF(X258=0,0,AC258/X258)</f>
        <v>5.1180899210511895E-3</v>
      </c>
      <c r="AE258">
        <f t="shared" ref="AE258:AE321" si="23">IF(AD258&gt;50%,1,0)</f>
        <v>0</v>
      </c>
      <c r="AF258" s="1">
        <v>2062</v>
      </c>
      <c r="AG258" s="1">
        <v>292726</v>
      </c>
      <c r="AH258" s="1">
        <v>1965424</v>
      </c>
      <c r="AI258" s="1">
        <v>618859</v>
      </c>
      <c r="AJ258" s="1">
        <v>1346565</v>
      </c>
      <c r="AK258" s="1">
        <v>270359</v>
      </c>
      <c r="AL258" s="1">
        <v>1495208</v>
      </c>
    </row>
    <row r="259" spans="1:38" x14ac:dyDescent="0.2">
      <c r="A259">
        <v>291</v>
      </c>
      <c r="B259" t="s">
        <v>322</v>
      </c>
      <c r="C259" t="s">
        <v>779</v>
      </c>
      <c r="D259" t="s">
        <v>1060</v>
      </c>
      <c r="E259" t="s">
        <v>1233</v>
      </c>
      <c r="F259" t="s">
        <v>1294</v>
      </c>
      <c r="G259" s="7">
        <v>450</v>
      </c>
      <c r="H259" t="str">
        <f t="shared" ref="H259:H322" si="24">IF(G259&lt;500,"K","Z")</f>
        <v>K</v>
      </c>
      <c r="I259" s="1">
        <v>1267796.18441</v>
      </c>
      <c r="J259" s="1">
        <v>418413.56510000001</v>
      </c>
      <c r="K259" s="1">
        <v>439489.72438000003</v>
      </c>
      <c r="L259" s="1">
        <v>356528.47868</v>
      </c>
      <c r="M259" s="1">
        <v>59962.619989999999</v>
      </c>
      <c r="N259" s="1">
        <v>3711</v>
      </c>
      <c r="O259" s="2">
        <f t="shared" si="20"/>
        <v>2.9271266514554191E-3</v>
      </c>
      <c r="P259">
        <f t="shared" si="21"/>
        <v>0</v>
      </c>
      <c r="Q259" s="1">
        <v>717</v>
      </c>
      <c r="R259" s="1">
        <v>96229.085099999997</v>
      </c>
      <c r="S259" s="1">
        <v>2295546.73391</v>
      </c>
      <c r="T259" s="1">
        <v>1088417.7426</v>
      </c>
      <c r="U259" s="1">
        <v>1207128.99131</v>
      </c>
      <c r="V259" s="1">
        <v>1892615.94469</v>
      </c>
      <c r="W259" s="1">
        <v>244922.22487000001</v>
      </c>
      <c r="X259" s="1">
        <v>2244810.2988300002</v>
      </c>
      <c r="Y259" s="1">
        <v>679499.92475999997</v>
      </c>
      <c r="Z259" s="1">
        <v>822677.93839999998</v>
      </c>
      <c r="AA259" s="1">
        <v>668085.49838999996</v>
      </c>
      <c r="AB259" s="1">
        <v>66439.133100000006</v>
      </c>
      <c r="AC259" s="1">
        <v>8952</v>
      </c>
      <c r="AD259" s="2">
        <f t="shared" si="22"/>
        <v>3.9878648118577328E-3</v>
      </c>
      <c r="AE259">
        <f t="shared" si="23"/>
        <v>0</v>
      </c>
      <c r="AF259" s="1">
        <v>729</v>
      </c>
      <c r="AG259" s="1">
        <v>147109.90987</v>
      </c>
      <c r="AH259" s="1">
        <v>3732711.37188</v>
      </c>
      <c r="AI259" s="1">
        <v>1435941.4334799999</v>
      </c>
      <c r="AJ259" s="1">
        <v>2296769.9383999999</v>
      </c>
      <c r="AK259" s="1">
        <v>2759820.2956500002</v>
      </c>
      <c r="AL259" s="1">
        <v>972891.07623000001</v>
      </c>
    </row>
    <row r="260" spans="1:38" x14ac:dyDescent="0.2">
      <c r="A260">
        <v>292</v>
      </c>
      <c r="B260" t="s">
        <v>222</v>
      </c>
      <c r="C260" t="s">
        <v>678</v>
      </c>
      <c r="D260" t="s">
        <v>974</v>
      </c>
      <c r="E260" t="s">
        <v>1131</v>
      </c>
      <c r="F260" t="s">
        <v>1305</v>
      </c>
      <c r="G260" s="7">
        <v>500</v>
      </c>
      <c r="H260" t="str">
        <f t="shared" si="24"/>
        <v>Z</v>
      </c>
      <c r="I260" s="1">
        <v>1720175.9</v>
      </c>
      <c r="J260" s="1">
        <v>18368</v>
      </c>
      <c r="K260" s="1">
        <v>13286.053540000001</v>
      </c>
      <c r="L260" s="1">
        <v>10586</v>
      </c>
      <c r="M260" s="1">
        <v>4988</v>
      </c>
      <c r="N260" s="1">
        <v>31970</v>
      </c>
      <c r="O260" s="2">
        <f t="shared" si="20"/>
        <v>1.8585308630355769E-2</v>
      </c>
      <c r="P260">
        <f t="shared" si="21"/>
        <v>0</v>
      </c>
      <c r="Q260" s="1">
        <v>53</v>
      </c>
      <c r="R260" s="1">
        <v>11215.68425</v>
      </c>
      <c r="S260" s="1">
        <v>332866.60489000002</v>
      </c>
      <c r="T260" s="1">
        <v>36335.3586</v>
      </c>
      <c r="U260" s="1">
        <v>296531.24628999998</v>
      </c>
      <c r="V260" s="1">
        <v>157694</v>
      </c>
      <c r="W260" s="1">
        <v>175172.07167</v>
      </c>
      <c r="X260" s="1">
        <v>3306631.1354100001</v>
      </c>
      <c r="Y260" s="1">
        <v>80476.706279999999</v>
      </c>
      <c r="Z260" s="1">
        <v>58135.423329999998</v>
      </c>
      <c r="AA260" s="1">
        <v>46273.292390000002</v>
      </c>
      <c r="AB260" s="1">
        <v>3753.1433000000002</v>
      </c>
      <c r="AC260" s="1">
        <v>36702</v>
      </c>
      <c r="AD260" s="2">
        <f t="shared" si="22"/>
        <v>1.1099514429343567E-2</v>
      </c>
      <c r="AE260">
        <f t="shared" si="23"/>
        <v>0</v>
      </c>
      <c r="AF260" s="1">
        <v>69</v>
      </c>
      <c r="AG260" s="1">
        <v>21090.62257</v>
      </c>
      <c r="AH260" s="1">
        <v>653064.89692999993</v>
      </c>
      <c r="AI260" s="1">
        <v>54625.930999999997</v>
      </c>
      <c r="AJ260" s="1">
        <v>598438.96592999995</v>
      </c>
      <c r="AK260" s="1">
        <v>265646.49008999998</v>
      </c>
      <c r="AL260" s="1">
        <v>387418.40681999997</v>
      </c>
    </row>
    <row r="261" spans="1:38" x14ac:dyDescent="0.2">
      <c r="A261">
        <v>293</v>
      </c>
      <c r="B261" t="s">
        <v>399</v>
      </c>
      <c r="C261" t="s">
        <v>856</v>
      </c>
      <c r="D261" t="s">
        <v>52</v>
      </c>
      <c r="E261" t="s">
        <v>1206</v>
      </c>
      <c r="F261" t="s">
        <v>1306</v>
      </c>
      <c r="G261" s="7">
        <v>500</v>
      </c>
      <c r="H261" t="str">
        <f t="shared" si="24"/>
        <v>Z</v>
      </c>
      <c r="I261" s="1">
        <v>1717762</v>
      </c>
      <c r="J261" s="1">
        <v>65896</v>
      </c>
      <c r="K261" s="1">
        <v>66371</v>
      </c>
      <c r="L261" s="1">
        <v>64494</v>
      </c>
      <c r="M261" s="1">
        <v>43949</v>
      </c>
      <c r="N261" s="1">
        <v>8589</v>
      </c>
      <c r="O261" s="2">
        <f t="shared" si="20"/>
        <v>5.0001106090366417E-3</v>
      </c>
      <c r="P261">
        <f t="shared" si="21"/>
        <v>0</v>
      </c>
      <c r="Q261" s="1">
        <v>612</v>
      </c>
      <c r="R261" s="1">
        <v>77539</v>
      </c>
      <c r="S261" s="1">
        <v>1045918</v>
      </c>
      <c r="T261" s="1">
        <v>409367</v>
      </c>
      <c r="U261" s="1">
        <v>636551</v>
      </c>
      <c r="V261" s="1">
        <v>758872</v>
      </c>
      <c r="W261" s="1">
        <v>287045.49456000002</v>
      </c>
      <c r="X261" s="1">
        <v>1611806.6182299999</v>
      </c>
      <c r="Y261" s="1">
        <v>77052.885209999993</v>
      </c>
      <c r="Z261" s="1">
        <v>94765.202040000004</v>
      </c>
      <c r="AA261" s="1">
        <v>78306.089959999998</v>
      </c>
      <c r="AB261" s="1">
        <v>42645.671860000002</v>
      </c>
      <c r="AC261" s="1">
        <v>19812</v>
      </c>
      <c r="AD261" s="2">
        <f t="shared" si="22"/>
        <v>1.2291797152288952E-2</v>
      </c>
      <c r="AE261">
        <f t="shared" si="23"/>
        <v>0</v>
      </c>
      <c r="AF261" s="1">
        <v>513</v>
      </c>
      <c r="AG261" s="1">
        <v>85810.252030000003</v>
      </c>
      <c r="AH261" s="1">
        <v>1109746.7018500001</v>
      </c>
      <c r="AI261" s="1">
        <v>367906.62813999999</v>
      </c>
      <c r="AJ261" s="1">
        <v>741840.07371000003</v>
      </c>
      <c r="AK261" s="1">
        <v>858314.62969000009</v>
      </c>
      <c r="AL261" s="1">
        <v>251432.07216000001</v>
      </c>
    </row>
    <row r="262" spans="1:38" x14ac:dyDescent="0.2">
      <c r="A262">
        <v>294</v>
      </c>
      <c r="B262" t="s">
        <v>323</v>
      </c>
      <c r="C262" t="s">
        <v>780</v>
      </c>
      <c r="D262" t="s">
        <v>1019</v>
      </c>
      <c r="E262" t="s">
        <v>1185</v>
      </c>
      <c r="F262" t="s">
        <v>1307</v>
      </c>
      <c r="G262" s="7">
        <v>500</v>
      </c>
      <c r="H262" t="str">
        <f t="shared" si="24"/>
        <v>Z</v>
      </c>
      <c r="I262" s="1">
        <v>1717378</v>
      </c>
      <c r="J262" s="1">
        <v>260541</v>
      </c>
      <c r="K262" s="1">
        <v>261260</v>
      </c>
      <c r="L262" s="1">
        <v>208585</v>
      </c>
      <c r="M262" s="1">
        <v>25200</v>
      </c>
      <c r="N262" s="1">
        <v>549785</v>
      </c>
      <c r="O262" s="2">
        <f t="shared" si="20"/>
        <v>0.32013045468149703</v>
      </c>
      <c r="P262">
        <f t="shared" si="21"/>
        <v>0</v>
      </c>
      <c r="Q262" s="1">
        <v>626</v>
      </c>
      <c r="R262" s="1">
        <v>60519</v>
      </c>
      <c r="S262" s="1">
        <v>1828468</v>
      </c>
      <c r="T262" s="1">
        <v>372999</v>
      </c>
      <c r="U262" s="1">
        <v>1455469</v>
      </c>
      <c r="V262" s="1">
        <v>923124</v>
      </c>
      <c r="W262" s="1">
        <v>905344.07900999999</v>
      </c>
      <c r="X262" s="1">
        <v>2241201.1072800001</v>
      </c>
      <c r="Y262" s="1">
        <v>387413.20844000002</v>
      </c>
      <c r="Z262" s="1">
        <v>449016.14390000002</v>
      </c>
      <c r="AA262" s="1">
        <v>363538.41451999999</v>
      </c>
      <c r="AB262" s="1">
        <v>34665.337249999997</v>
      </c>
      <c r="AC262" s="1">
        <v>949633.11450000003</v>
      </c>
      <c r="AD262" s="2">
        <f t="shared" si="22"/>
        <v>0.42371615443850458</v>
      </c>
      <c r="AE262">
        <f t="shared" si="23"/>
        <v>0</v>
      </c>
      <c r="AF262" s="1">
        <v>584</v>
      </c>
      <c r="AG262" s="1">
        <v>85403.146940000006</v>
      </c>
      <c r="AH262" s="1">
        <v>2204531.75563</v>
      </c>
      <c r="AI262" s="1">
        <v>246094.59088999999</v>
      </c>
      <c r="AJ262" s="1">
        <v>1958437.1647399999</v>
      </c>
      <c r="AK262" s="1">
        <v>1556353.86836</v>
      </c>
      <c r="AL262" s="1">
        <v>648177.88726999995</v>
      </c>
    </row>
    <row r="263" spans="1:38" x14ac:dyDescent="0.2">
      <c r="A263">
        <v>295</v>
      </c>
      <c r="B263" t="s">
        <v>419</v>
      </c>
      <c r="C263" t="s">
        <v>876</v>
      </c>
      <c r="D263" t="s">
        <v>1097</v>
      </c>
      <c r="E263" t="s">
        <v>1273</v>
      </c>
      <c r="F263" t="s">
        <v>1306</v>
      </c>
      <c r="G263" s="7">
        <v>400</v>
      </c>
      <c r="H263" t="str">
        <f t="shared" si="24"/>
        <v>K</v>
      </c>
      <c r="I263" s="1">
        <v>1714344</v>
      </c>
      <c r="J263" s="1">
        <v>19718</v>
      </c>
      <c r="K263" s="1">
        <v>7480</v>
      </c>
      <c r="L263" s="1">
        <v>-11453</v>
      </c>
      <c r="M263" s="1">
        <v>82487</v>
      </c>
      <c r="N263" s="1">
        <v>456699</v>
      </c>
      <c r="O263" s="2">
        <f t="shared" si="20"/>
        <v>0.26639869244445691</v>
      </c>
      <c r="P263">
        <f t="shared" si="21"/>
        <v>0</v>
      </c>
      <c r="Q263" s="1">
        <v>8461</v>
      </c>
      <c r="R263" s="1">
        <v>471487</v>
      </c>
      <c r="S263" s="1">
        <v>2188754</v>
      </c>
      <c r="T263" s="1">
        <v>1534714</v>
      </c>
      <c r="U263" s="1">
        <v>654040</v>
      </c>
      <c r="V263" s="1">
        <v>1441966</v>
      </c>
      <c r="W263" s="1">
        <v>567007</v>
      </c>
      <c r="X263" s="1">
        <v>1526862</v>
      </c>
      <c r="Y263" s="1">
        <v>-74665</v>
      </c>
      <c r="Z263" s="1">
        <v>-106550</v>
      </c>
      <c r="AA263" s="1">
        <v>-130089</v>
      </c>
      <c r="AB263" s="1">
        <v>55329</v>
      </c>
      <c r="AC263" s="1">
        <v>491237</v>
      </c>
      <c r="AD263" s="2">
        <f t="shared" si="22"/>
        <v>0.32172979614398683</v>
      </c>
      <c r="AE263">
        <f t="shared" si="23"/>
        <v>0</v>
      </c>
      <c r="AF263" s="1">
        <v>6015</v>
      </c>
      <c r="AG263" s="1">
        <v>460222</v>
      </c>
      <c r="AH263" s="1">
        <v>1486748</v>
      </c>
      <c r="AI263" s="1">
        <v>928723</v>
      </c>
      <c r="AJ263" s="1">
        <v>558025</v>
      </c>
      <c r="AK263" s="1">
        <v>628825</v>
      </c>
      <c r="AL263" s="1">
        <v>813067</v>
      </c>
    </row>
    <row r="264" spans="1:38" x14ac:dyDescent="0.2">
      <c r="A264">
        <v>296</v>
      </c>
      <c r="B264" t="s">
        <v>308</v>
      </c>
      <c r="C264" t="s">
        <v>764</v>
      </c>
      <c r="D264" t="s">
        <v>969</v>
      </c>
      <c r="E264" t="s">
        <v>1126</v>
      </c>
      <c r="F264" t="s">
        <v>1304</v>
      </c>
      <c r="G264" s="7">
        <v>400</v>
      </c>
      <c r="H264" t="str">
        <f t="shared" si="24"/>
        <v>K</v>
      </c>
      <c r="I264" s="1">
        <v>1695394</v>
      </c>
      <c r="J264" s="1">
        <v>26253</v>
      </c>
      <c r="K264" s="1">
        <v>20948</v>
      </c>
      <c r="L264" s="1">
        <v>16411</v>
      </c>
      <c r="M264" s="1">
        <v>12691</v>
      </c>
      <c r="N264" s="1">
        <v>4340</v>
      </c>
      <c r="O264" s="2">
        <f t="shared" si="20"/>
        <v>2.5598769371603298E-3</v>
      </c>
      <c r="P264">
        <f t="shared" si="21"/>
        <v>0</v>
      </c>
      <c r="Q264" s="1">
        <v>684</v>
      </c>
      <c r="R264" s="1">
        <v>63878</v>
      </c>
      <c r="S264" s="1">
        <v>812301</v>
      </c>
      <c r="T264" s="1">
        <v>336829</v>
      </c>
      <c r="U264" s="1">
        <v>475472</v>
      </c>
      <c r="V264" s="1">
        <v>378213</v>
      </c>
      <c r="W264" s="1">
        <v>429386</v>
      </c>
      <c r="X264" s="1">
        <v>2376919</v>
      </c>
      <c r="Y264" s="1">
        <v>32249</v>
      </c>
      <c r="Z264" s="1">
        <v>38424</v>
      </c>
      <c r="AA264" s="1">
        <v>30909</v>
      </c>
      <c r="AB264" s="1">
        <v>13769</v>
      </c>
      <c r="AC264" s="1">
        <v>49338</v>
      </c>
      <c r="AD264" s="2">
        <f t="shared" si="22"/>
        <v>2.0757122981473076E-2</v>
      </c>
      <c r="AE264">
        <f t="shared" si="23"/>
        <v>0</v>
      </c>
      <c r="AF264" s="1">
        <v>743</v>
      </c>
      <c r="AG264" s="1">
        <v>104534</v>
      </c>
      <c r="AH264" s="1">
        <v>1145983</v>
      </c>
      <c r="AI264" s="1">
        <v>408615</v>
      </c>
      <c r="AJ264" s="1">
        <v>737368</v>
      </c>
      <c r="AK264" s="1">
        <v>778976</v>
      </c>
      <c r="AL264" s="1">
        <v>367007</v>
      </c>
    </row>
    <row r="265" spans="1:38" x14ac:dyDescent="0.2">
      <c r="A265">
        <v>297</v>
      </c>
      <c r="B265" t="s">
        <v>349</v>
      </c>
      <c r="C265" t="s">
        <v>806</v>
      </c>
      <c r="D265" t="s">
        <v>1036</v>
      </c>
      <c r="E265" t="s">
        <v>1210</v>
      </c>
      <c r="F265" t="s">
        <v>1305</v>
      </c>
      <c r="G265" s="7">
        <v>500</v>
      </c>
      <c r="H265" t="str">
        <f t="shared" si="24"/>
        <v>Z</v>
      </c>
      <c r="I265" s="1">
        <v>1685514.34</v>
      </c>
      <c r="J265" s="1">
        <v>108730.8</v>
      </c>
      <c r="K265" s="1">
        <v>219352.149</v>
      </c>
      <c r="L265" s="1">
        <v>214093.508</v>
      </c>
      <c r="M265" s="1">
        <v>77808.850000000006</v>
      </c>
      <c r="N265" s="1">
        <v>1372351.25</v>
      </c>
      <c r="O265" s="2">
        <f t="shared" si="20"/>
        <v>0.8142032478940523</v>
      </c>
      <c r="P265">
        <f t="shared" si="21"/>
        <v>1</v>
      </c>
      <c r="Q265" s="1">
        <v>1914</v>
      </c>
      <c r="R265" s="1">
        <v>203856.9</v>
      </c>
      <c r="S265" s="1">
        <v>1132171.0220000001</v>
      </c>
      <c r="T265" s="1">
        <v>722959.76</v>
      </c>
      <c r="U265" s="1">
        <v>409211.26199999999</v>
      </c>
      <c r="V265" s="1">
        <v>631624.20299999998</v>
      </c>
      <c r="W265" s="1">
        <v>500546.82040999999</v>
      </c>
      <c r="X265" s="1">
        <v>2043203.7050300001</v>
      </c>
      <c r="Y265" s="1">
        <v>-38529.277869999998</v>
      </c>
      <c r="Z265" s="1">
        <v>3532.84825</v>
      </c>
      <c r="AA265" s="1">
        <v>-23936.682970000002</v>
      </c>
      <c r="AB265" s="1">
        <v>149040.46294999999</v>
      </c>
      <c r="AC265" s="1">
        <v>1633433</v>
      </c>
      <c r="AD265" s="2">
        <f t="shared" si="22"/>
        <v>0.79944696457762954</v>
      </c>
      <c r="AE265">
        <f t="shared" si="23"/>
        <v>1</v>
      </c>
      <c r="AF265" s="1">
        <v>1798</v>
      </c>
      <c r="AG265" s="1">
        <v>257040.35222999999</v>
      </c>
      <c r="AH265" s="1">
        <v>2188243.9062299998</v>
      </c>
      <c r="AI265" s="1">
        <v>977017.85019000003</v>
      </c>
      <c r="AJ265" s="1">
        <v>1211226.0560399999</v>
      </c>
      <c r="AK265" s="1">
        <v>1848803.3069800001</v>
      </c>
      <c r="AL265" s="1">
        <v>339440.59925000003</v>
      </c>
    </row>
    <row r="266" spans="1:38" x14ac:dyDescent="0.2">
      <c r="A266">
        <v>298</v>
      </c>
      <c r="B266" t="s">
        <v>306</v>
      </c>
      <c r="C266" t="s">
        <v>762</v>
      </c>
      <c r="D266" t="s">
        <v>1069</v>
      </c>
      <c r="E266" t="s">
        <v>1243</v>
      </c>
      <c r="F266" t="s">
        <v>1306</v>
      </c>
      <c r="G266" s="7">
        <v>500</v>
      </c>
      <c r="H266" t="str">
        <f t="shared" si="24"/>
        <v>Z</v>
      </c>
      <c r="I266" s="1">
        <v>1685177</v>
      </c>
      <c r="J266" s="1">
        <v>97244</v>
      </c>
      <c r="K266" s="1">
        <v>89282</v>
      </c>
      <c r="L266" s="1">
        <v>91615</v>
      </c>
      <c r="M266" s="1">
        <v>91659</v>
      </c>
      <c r="N266" s="1">
        <v>1416003</v>
      </c>
      <c r="O266" s="2">
        <f t="shared" si="20"/>
        <v>0.84026959779299149</v>
      </c>
      <c r="P266">
        <f t="shared" si="21"/>
        <v>1</v>
      </c>
      <c r="Q266" s="1">
        <v>1673</v>
      </c>
      <c r="R266" s="1">
        <v>170504.08184999999</v>
      </c>
      <c r="S266" s="1">
        <v>1876695</v>
      </c>
      <c r="T266" s="1">
        <v>1251261</v>
      </c>
      <c r="U266" s="1">
        <v>625434</v>
      </c>
      <c r="V266" s="1">
        <v>1233441</v>
      </c>
      <c r="W266" s="1">
        <v>643254.07236999995</v>
      </c>
      <c r="X266" s="1">
        <v>2404487.8361599999</v>
      </c>
      <c r="Y266" s="1">
        <v>145428.72484000001</v>
      </c>
      <c r="Z266" s="1">
        <v>185948.17632</v>
      </c>
      <c r="AA266" s="1">
        <v>188363.57332</v>
      </c>
      <c r="AB266" s="1">
        <v>127056.34</v>
      </c>
      <c r="AC266" s="1">
        <v>1889007</v>
      </c>
      <c r="AD266" s="2">
        <f t="shared" si="22"/>
        <v>0.78561719946846142</v>
      </c>
      <c r="AE266">
        <f t="shared" si="23"/>
        <v>1</v>
      </c>
      <c r="AF266" s="1">
        <v>1641</v>
      </c>
      <c r="AG266" s="1">
        <v>245701.788</v>
      </c>
      <c r="AH266" s="1">
        <v>2036471.0472299999</v>
      </c>
      <c r="AI266" s="1">
        <v>1237751.13387</v>
      </c>
      <c r="AJ266" s="1">
        <v>798719.91336000001</v>
      </c>
      <c r="AK266" s="1">
        <v>1701357.58391</v>
      </c>
      <c r="AL266" s="1">
        <v>335113.46331999998</v>
      </c>
    </row>
    <row r="267" spans="1:38" x14ac:dyDescent="0.2">
      <c r="A267">
        <v>299</v>
      </c>
      <c r="B267" t="s">
        <v>351</v>
      </c>
      <c r="C267" t="s">
        <v>808</v>
      </c>
      <c r="D267" t="s">
        <v>1083</v>
      </c>
      <c r="E267" t="s">
        <v>1257</v>
      </c>
      <c r="F267" t="s">
        <v>1306</v>
      </c>
      <c r="G267" s="7">
        <v>500</v>
      </c>
      <c r="H267" t="str">
        <f t="shared" si="24"/>
        <v>Z</v>
      </c>
      <c r="I267" s="1">
        <v>1682817</v>
      </c>
      <c r="J267" s="1">
        <v>-85752</v>
      </c>
      <c r="K267" s="1">
        <v>-105729</v>
      </c>
      <c r="L267" s="1">
        <v>-109010</v>
      </c>
      <c r="M267" s="1">
        <v>68896</v>
      </c>
      <c r="N267" s="1">
        <v>852101</v>
      </c>
      <c r="O267" s="2">
        <f t="shared" si="20"/>
        <v>0.50635392915569544</v>
      </c>
      <c r="P267">
        <f t="shared" si="21"/>
        <v>1</v>
      </c>
      <c r="Q267" s="1">
        <v>2202</v>
      </c>
      <c r="R267" s="1">
        <v>177062</v>
      </c>
      <c r="S267" s="1">
        <v>1107298</v>
      </c>
      <c r="T267" s="1">
        <v>788044</v>
      </c>
      <c r="U267" s="1">
        <v>319254</v>
      </c>
      <c r="V267" s="1">
        <v>250680</v>
      </c>
      <c r="W267" s="1">
        <v>856618</v>
      </c>
      <c r="X267" s="1">
        <v>2033851</v>
      </c>
      <c r="Y267" s="1">
        <v>11274</v>
      </c>
      <c r="Z267" s="1">
        <v>6279</v>
      </c>
      <c r="AA267" s="1">
        <v>5832</v>
      </c>
      <c r="AB267" s="1">
        <v>83331</v>
      </c>
      <c r="AC267" s="1">
        <v>1352857</v>
      </c>
      <c r="AD267" s="2">
        <f t="shared" si="22"/>
        <v>0.66517016241602755</v>
      </c>
      <c r="AE267">
        <f t="shared" si="23"/>
        <v>1</v>
      </c>
      <c r="AF267" s="1">
        <v>2143</v>
      </c>
      <c r="AG267" s="1">
        <v>251883</v>
      </c>
      <c r="AH267" s="1">
        <v>1367644</v>
      </c>
      <c r="AI267" s="1">
        <v>689133</v>
      </c>
      <c r="AJ267" s="1">
        <v>678511</v>
      </c>
      <c r="AK267" s="1">
        <v>821665</v>
      </c>
      <c r="AL267" s="1">
        <v>545979</v>
      </c>
    </row>
    <row r="268" spans="1:38" x14ac:dyDescent="0.2">
      <c r="A268">
        <v>300</v>
      </c>
      <c r="B268" t="s">
        <v>370</v>
      </c>
      <c r="C268" t="s">
        <v>827</v>
      </c>
      <c r="D268" t="s">
        <v>992</v>
      </c>
      <c r="E268" t="s">
        <v>1152</v>
      </c>
      <c r="F268" t="s">
        <v>1307</v>
      </c>
      <c r="G268" s="7">
        <v>400</v>
      </c>
      <c r="H268" t="str">
        <f t="shared" si="24"/>
        <v>K</v>
      </c>
      <c r="I268" s="1">
        <v>1676654.0115499999</v>
      </c>
      <c r="J268" s="1">
        <v>-14621.47572</v>
      </c>
      <c r="K268" s="1">
        <v>-7335.8026600000003</v>
      </c>
      <c r="L268" s="1">
        <v>-5629.4966599999998</v>
      </c>
      <c r="M268" s="1">
        <v>4124.81333</v>
      </c>
      <c r="N268" s="1">
        <v>0</v>
      </c>
      <c r="O268" s="2">
        <f t="shared" si="20"/>
        <v>0</v>
      </c>
      <c r="P268">
        <f t="shared" si="21"/>
        <v>0</v>
      </c>
      <c r="Q268" s="1">
        <v>620</v>
      </c>
      <c r="R268" s="1">
        <v>35847.715210000002</v>
      </c>
      <c r="S268" s="1">
        <v>569216.35048000002</v>
      </c>
      <c r="T268" s="1">
        <v>132768.02403999999</v>
      </c>
      <c r="U268" s="1">
        <v>436448.32643999998</v>
      </c>
      <c r="V268" s="1">
        <v>82410.073510000002</v>
      </c>
      <c r="W268" s="1">
        <v>486806.27697000001</v>
      </c>
      <c r="X268" s="1">
        <v>1792998</v>
      </c>
      <c r="Y268" s="1">
        <v>687</v>
      </c>
      <c r="Z268" s="1">
        <v>4495</v>
      </c>
      <c r="AA268" s="1">
        <v>3384</v>
      </c>
      <c r="AB268" s="1">
        <v>4886</v>
      </c>
      <c r="AC268" s="1">
        <v>0</v>
      </c>
      <c r="AD268" s="2">
        <f t="shared" si="22"/>
        <v>0</v>
      </c>
      <c r="AE268">
        <f t="shared" si="23"/>
        <v>0</v>
      </c>
      <c r="AF268" s="1">
        <v>488</v>
      </c>
      <c r="AG268" s="1">
        <v>41316</v>
      </c>
      <c r="AH268" s="1">
        <v>563867</v>
      </c>
      <c r="AI268" s="1">
        <v>159142</v>
      </c>
      <c r="AJ268" s="1">
        <v>404725</v>
      </c>
      <c r="AK268" s="1">
        <v>92038</v>
      </c>
      <c r="AL268" s="1">
        <v>471830</v>
      </c>
    </row>
    <row r="269" spans="1:38" x14ac:dyDescent="0.2">
      <c r="A269">
        <v>301</v>
      </c>
      <c r="B269" t="s">
        <v>365</v>
      </c>
      <c r="C269" t="s">
        <v>822</v>
      </c>
      <c r="D269" t="s">
        <v>982</v>
      </c>
      <c r="E269" t="s">
        <v>1146</v>
      </c>
      <c r="F269" t="s">
        <v>1300</v>
      </c>
      <c r="G269" s="7">
        <v>400</v>
      </c>
      <c r="H269" t="str">
        <f t="shared" si="24"/>
        <v>K</v>
      </c>
      <c r="I269" s="1">
        <v>1298054.362</v>
      </c>
      <c r="J269" s="1">
        <v>63570.356</v>
      </c>
      <c r="K269" s="1">
        <v>66102.854000000007</v>
      </c>
      <c r="L269" s="1">
        <v>51421.858999999997</v>
      </c>
      <c r="M269" s="1">
        <v>36317</v>
      </c>
      <c r="N269" s="1">
        <v>146672.5</v>
      </c>
      <c r="O269" s="2">
        <f t="shared" si="20"/>
        <v>0.11299411202933887</v>
      </c>
      <c r="P269">
        <f t="shared" si="21"/>
        <v>0</v>
      </c>
      <c r="Q269" s="1">
        <v>567</v>
      </c>
      <c r="R269" s="1">
        <v>65010.733999999997</v>
      </c>
      <c r="S269" s="1">
        <v>571896.35</v>
      </c>
      <c r="T269" s="1">
        <v>319610.478</v>
      </c>
      <c r="U269" s="1">
        <v>252285.872</v>
      </c>
      <c r="V269" s="1">
        <v>418744.47899999999</v>
      </c>
      <c r="W269" s="1">
        <v>153151.87100000001</v>
      </c>
      <c r="X269" s="1">
        <v>1828405.7918499999</v>
      </c>
      <c r="Y269" s="1">
        <v>47716.12788</v>
      </c>
      <c r="Z269" s="1">
        <v>103315.24443999999</v>
      </c>
      <c r="AA269" s="1">
        <v>90853.937439999994</v>
      </c>
      <c r="AB269" s="1">
        <v>42871.140460000002</v>
      </c>
      <c r="AC269" s="1">
        <v>36586</v>
      </c>
      <c r="AD269" s="2">
        <f t="shared" si="22"/>
        <v>2.0009781287654918E-2</v>
      </c>
      <c r="AE269">
        <f t="shared" si="23"/>
        <v>0</v>
      </c>
      <c r="AF269" s="1">
        <v>542</v>
      </c>
      <c r="AG269" s="1">
        <v>85398.827059999996</v>
      </c>
      <c r="AH269" s="1">
        <v>654153.44640000002</v>
      </c>
      <c r="AI269" s="1">
        <v>304701.87046000001</v>
      </c>
      <c r="AJ269" s="1">
        <v>349451.57594000001</v>
      </c>
      <c r="AK269" s="1">
        <v>448733.18803999998</v>
      </c>
      <c r="AL269" s="1">
        <v>205420.25836000001</v>
      </c>
    </row>
    <row r="270" spans="1:38" x14ac:dyDescent="0.2">
      <c r="A270">
        <v>302</v>
      </c>
      <c r="B270" t="s">
        <v>180</v>
      </c>
      <c r="C270" t="s">
        <v>636</v>
      </c>
      <c r="D270" t="s">
        <v>989</v>
      </c>
      <c r="E270" t="s">
        <v>1149</v>
      </c>
      <c r="F270" t="s">
        <v>1220</v>
      </c>
      <c r="G270" s="7">
        <v>450</v>
      </c>
      <c r="H270" t="str">
        <f t="shared" si="24"/>
        <v>K</v>
      </c>
      <c r="I270" s="1">
        <v>1666162</v>
      </c>
      <c r="J270" s="1">
        <v>121820</v>
      </c>
      <c r="K270" s="1">
        <v>111555</v>
      </c>
      <c r="L270" s="1">
        <v>89563</v>
      </c>
      <c r="M270" s="1">
        <v>99636</v>
      </c>
      <c r="N270" s="1">
        <v>45</v>
      </c>
      <c r="O270" s="2">
        <f t="shared" si="20"/>
        <v>2.7008178076321511E-5</v>
      </c>
      <c r="P270">
        <f t="shared" si="21"/>
        <v>0</v>
      </c>
      <c r="Q270" s="1">
        <v>847</v>
      </c>
      <c r="R270" s="1">
        <v>115164</v>
      </c>
      <c r="S270" s="1">
        <v>2042238</v>
      </c>
      <c r="T270" s="1">
        <v>1448617</v>
      </c>
      <c r="U270" s="1">
        <v>593621</v>
      </c>
      <c r="V270" s="1">
        <v>1051513</v>
      </c>
      <c r="W270" s="1">
        <v>990725</v>
      </c>
      <c r="X270" s="1">
        <v>4307007</v>
      </c>
      <c r="Y270" s="1">
        <v>159640</v>
      </c>
      <c r="Z270" s="1">
        <v>127302</v>
      </c>
      <c r="AA270" s="1">
        <v>105857</v>
      </c>
      <c r="AB270" s="1">
        <v>98720</v>
      </c>
      <c r="AC270" s="1">
        <v>103</v>
      </c>
      <c r="AD270" s="2">
        <f t="shared" si="22"/>
        <v>2.3914518829433062E-5</v>
      </c>
      <c r="AE270">
        <f t="shared" si="23"/>
        <v>0</v>
      </c>
      <c r="AF270" s="1">
        <v>626</v>
      </c>
      <c r="AG270" s="1">
        <v>104233</v>
      </c>
      <c r="AH270" s="1">
        <v>2853592</v>
      </c>
      <c r="AI270" s="1">
        <v>1419330</v>
      </c>
      <c r="AJ270" s="1">
        <v>1434262</v>
      </c>
      <c r="AK270" s="1">
        <v>909141</v>
      </c>
      <c r="AL270" s="1">
        <v>1944451</v>
      </c>
    </row>
    <row r="271" spans="1:38" x14ac:dyDescent="0.2">
      <c r="A271">
        <v>303</v>
      </c>
      <c r="B271" t="s">
        <v>235</v>
      </c>
      <c r="C271" t="s">
        <v>691</v>
      </c>
      <c r="D271" t="s">
        <v>1028</v>
      </c>
      <c r="E271" t="s">
        <v>1199</v>
      </c>
      <c r="F271" t="s">
        <v>1294</v>
      </c>
      <c r="G271" s="7">
        <v>540</v>
      </c>
      <c r="H271" t="str">
        <f t="shared" si="24"/>
        <v>Z</v>
      </c>
      <c r="I271" s="1">
        <v>1661721</v>
      </c>
      <c r="J271" s="1">
        <v>320690</v>
      </c>
      <c r="K271" s="1">
        <v>320482</v>
      </c>
      <c r="L271" s="1">
        <v>256018</v>
      </c>
      <c r="M271" s="1">
        <v>14944</v>
      </c>
      <c r="N271" s="1">
        <v>0</v>
      </c>
      <c r="O271" s="2">
        <f t="shared" si="20"/>
        <v>0</v>
      </c>
      <c r="P271">
        <f t="shared" si="21"/>
        <v>0</v>
      </c>
      <c r="Q271" s="1">
        <v>355</v>
      </c>
      <c r="R271" s="1">
        <v>94148</v>
      </c>
      <c r="S271" s="1">
        <v>2960936</v>
      </c>
      <c r="T271" s="1">
        <v>68847</v>
      </c>
      <c r="U271" s="1">
        <v>2892089</v>
      </c>
      <c r="V271" s="1">
        <v>1084231</v>
      </c>
      <c r="W271" s="1">
        <v>1876705</v>
      </c>
      <c r="X271" s="1">
        <v>3168177</v>
      </c>
      <c r="Y271" s="1">
        <v>697243</v>
      </c>
      <c r="Z271" s="1">
        <v>706432</v>
      </c>
      <c r="AA271" s="1">
        <v>569157</v>
      </c>
      <c r="AB271" s="1">
        <v>24761</v>
      </c>
      <c r="AC271" s="1">
        <v>0</v>
      </c>
      <c r="AD271" s="2">
        <f t="shared" si="22"/>
        <v>0</v>
      </c>
      <c r="AE271">
        <f t="shared" si="23"/>
        <v>0</v>
      </c>
      <c r="AF271" s="1">
        <v>697</v>
      </c>
      <c r="AG271" s="1">
        <v>201836</v>
      </c>
      <c r="AH271" s="1">
        <v>5288518</v>
      </c>
      <c r="AI271" s="1">
        <v>207508</v>
      </c>
      <c r="AJ271" s="1">
        <v>5081010</v>
      </c>
      <c r="AK271" s="1">
        <v>1701836</v>
      </c>
      <c r="AL271" s="1">
        <v>3586682</v>
      </c>
    </row>
    <row r="272" spans="1:38" x14ac:dyDescent="0.2">
      <c r="A272">
        <v>304</v>
      </c>
      <c r="B272" t="s">
        <v>278</v>
      </c>
      <c r="C272" t="s">
        <v>734</v>
      </c>
      <c r="D272" t="s">
        <v>1041</v>
      </c>
      <c r="E272" t="s">
        <v>1214</v>
      </c>
      <c r="F272" t="s">
        <v>1294</v>
      </c>
      <c r="G272" s="7">
        <v>450</v>
      </c>
      <c r="H272" t="str">
        <f t="shared" si="24"/>
        <v>K</v>
      </c>
      <c r="I272" s="1">
        <v>1661974</v>
      </c>
      <c r="J272" s="1">
        <v>50894</v>
      </c>
      <c r="K272" s="1">
        <v>38827.870170000097</v>
      </c>
      <c r="L272" s="1">
        <v>28984</v>
      </c>
      <c r="M272" s="1">
        <v>15888</v>
      </c>
      <c r="N272" s="1">
        <v>373924</v>
      </c>
      <c r="O272" s="2">
        <f t="shared" si="20"/>
        <v>0.22498787586328065</v>
      </c>
      <c r="P272">
        <f t="shared" si="21"/>
        <v>0</v>
      </c>
      <c r="Q272" s="1">
        <v>1523</v>
      </c>
      <c r="R272" s="1">
        <v>168485</v>
      </c>
      <c r="S272" s="1">
        <v>1169269</v>
      </c>
      <c r="T272" s="1">
        <v>288754</v>
      </c>
      <c r="U272" s="1">
        <v>880515</v>
      </c>
      <c r="V272" s="1">
        <v>325130</v>
      </c>
      <c r="W272" s="1">
        <v>844138</v>
      </c>
      <c r="X272" s="1">
        <v>2606858</v>
      </c>
      <c r="Y272" s="1">
        <v>168647</v>
      </c>
      <c r="Z272" s="1">
        <v>134770</v>
      </c>
      <c r="AA272" s="1">
        <v>107655</v>
      </c>
      <c r="AB272" s="1">
        <v>30234</v>
      </c>
      <c r="AC272" s="1">
        <v>195272</v>
      </c>
      <c r="AD272" s="2">
        <f t="shared" si="22"/>
        <v>7.4907033678090637E-2</v>
      </c>
      <c r="AE272">
        <f t="shared" si="23"/>
        <v>0</v>
      </c>
      <c r="AF272" s="1">
        <v>1703</v>
      </c>
      <c r="AG272" s="1">
        <v>280462</v>
      </c>
      <c r="AH272" s="1">
        <v>1975487</v>
      </c>
      <c r="AI272" s="1">
        <v>474096</v>
      </c>
      <c r="AJ272" s="1">
        <v>1501391</v>
      </c>
      <c r="AK272" s="1">
        <v>319265</v>
      </c>
      <c r="AL272" s="1">
        <v>1656221</v>
      </c>
    </row>
    <row r="273" spans="1:38" x14ac:dyDescent="0.2">
      <c r="A273">
        <v>305</v>
      </c>
      <c r="B273" t="s">
        <v>190</v>
      </c>
      <c r="C273" t="s">
        <v>646</v>
      </c>
      <c r="D273" t="s">
        <v>44</v>
      </c>
      <c r="E273" t="s">
        <v>1198</v>
      </c>
      <c r="F273" t="s">
        <v>1306</v>
      </c>
      <c r="G273" s="7">
        <v>500</v>
      </c>
      <c r="H273" t="str">
        <f t="shared" si="24"/>
        <v>Z</v>
      </c>
      <c r="I273" s="1">
        <v>1659656</v>
      </c>
      <c r="J273" s="1">
        <v>132474</v>
      </c>
      <c r="K273" s="1">
        <v>131600</v>
      </c>
      <c r="L273" s="1">
        <v>114835</v>
      </c>
      <c r="M273" s="1">
        <v>23953</v>
      </c>
      <c r="N273" s="1">
        <v>22208</v>
      </c>
      <c r="O273" s="2">
        <f t="shared" si="20"/>
        <v>1.338108620099587E-2</v>
      </c>
      <c r="P273">
        <f t="shared" si="21"/>
        <v>0</v>
      </c>
      <c r="Q273" s="1">
        <v>604</v>
      </c>
      <c r="R273" s="1">
        <v>72441</v>
      </c>
      <c r="S273" s="1">
        <v>635135</v>
      </c>
      <c r="T273" s="1">
        <v>218482</v>
      </c>
      <c r="U273" s="1">
        <v>416653</v>
      </c>
      <c r="V273" s="1">
        <v>435032</v>
      </c>
      <c r="W273" s="1">
        <v>200103</v>
      </c>
      <c r="X273" s="1">
        <v>4088372</v>
      </c>
      <c r="Y273" s="1">
        <v>231385</v>
      </c>
      <c r="Z273" s="1">
        <v>222508</v>
      </c>
      <c r="AA273" s="1">
        <v>174391</v>
      </c>
      <c r="AB273" s="1">
        <v>31560</v>
      </c>
      <c r="AC273" s="1">
        <v>89646</v>
      </c>
      <c r="AD273" s="2">
        <f t="shared" si="22"/>
        <v>2.1927065345325718E-2</v>
      </c>
      <c r="AE273">
        <f t="shared" si="23"/>
        <v>0</v>
      </c>
      <c r="AF273" s="1">
        <v>739</v>
      </c>
      <c r="AG273" s="1">
        <v>139580</v>
      </c>
      <c r="AH273" s="1">
        <v>1322403</v>
      </c>
      <c r="AI273" s="1">
        <v>405819</v>
      </c>
      <c r="AJ273" s="1">
        <v>916584</v>
      </c>
      <c r="AK273" s="1">
        <v>859267</v>
      </c>
      <c r="AL273" s="1">
        <v>463136</v>
      </c>
    </row>
    <row r="274" spans="1:38" x14ac:dyDescent="0.2">
      <c r="A274">
        <v>306</v>
      </c>
      <c r="B274" t="s">
        <v>443</v>
      </c>
      <c r="C274" t="s">
        <v>900</v>
      </c>
      <c r="D274" t="s">
        <v>1105</v>
      </c>
      <c r="E274" t="s">
        <v>1282</v>
      </c>
      <c r="F274" t="s">
        <v>1306</v>
      </c>
      <c r="G274" s="7">
        <v>400</v>
      </c>
      <c r="H274" t="str">
        <f t="shared" si="24"/>
        <v>K</v>
      </c>
      <c r="I274" s="1">
        <v>1658595.8</v>
      </c>
      <c r="J274" s="1">
        <v>56292</v>
      </c>
      <c r="K274" s="1">
        <v>46134</v>
      </c>
      <c r="L274" s="1">
        <v>31269</v>
      </c>
      <c r="M274" s="1">
        <v>63706</v>
      </c>
      <c r="N274" s="1">
        <v>1471195</v>
      </c>
      <c r="O274" s="2">
        <f t="shared" si="20"/>
        <v>0.88701237516699361</v>
      </c>
      <c r="P274">
        <f t="shared" si="21"/>
        <v>1</v>
      </c>
      <c r="Q274" s="1">
        <v>4631</v>
      </c>
      <c r="R274" s="1">
        <v>462239</v>
      </c>
      <c r="S274" s="1">
        <v>1171700</v>
      </c>
      <c r="T274" s="1">
        <v>576755</v>
      </c>
      <c r="U274" s="1">
        <v>594945</v>
      </c>
      <c r="V274" s="1">
        <v>387604</v>
      </c>
      <c r="W274" s="1">
        <v>581572</v>
      </c>
      <c r="X274" s="1">
        <v>1321014</v>
      </c>
      <c r="Y274" s="1">
        <v>30895</v>
      </c>
      <c r="Z274" s="1">
        <v>21415</v>
      </c>
      <c r="AA274" s="1">
        <v>15904</v>
      </c>
      <c r="AB274" s="1">
        <v>54527</v>
      </c>
      <c r="AC274" s="1">
        <v>1107020</v>
      </c>
      <c r="AD274" s="2">
        <f t="shared" si="22"/>
        <v>0.83800777281694216</v>
      </c>
      <c r="AE274">
        <f t="shared" si="23"/>
        <v>1</v>
      </c>
      <c r="AF274" s="1">
        <v>3456</v>
      </c>
      <c r="AG274" s="1">
        <v>431806.5</v>
      </c>
      <c r="AH274" s="1">
        <v>955676</v>
      </c>
      <c r="AI274" s="1">
        <v>468988</v>
      </c>
      <c r="AJ274" s="1">
        <v>486688</v>
      </c>
      <c r="AK274" s="1">
        <v>409921</v>
      </c>
      <c r="AL274" s="1">
        <v>543389</v>
      </c>
    </row>
    <row r="275" spans="1:38" x14ac:dyDescent="0.2">
      <c r="A275">
        <v>307</v>
      </c>
      <c r="B275" t="s">
        <v>334</v>
      </c>
      <c r="C275" t="s">
        <v>791</v>
      </c>
      <c r="D275" t="s">
        <v>1049</v>
      </c>
      <c r="E275" t="s">
        <v>1222</v>
      </c>
      <c r="F275" t="s">
        <v>1305</v>
      </c>
      <c r="G275" s="7">
        <v>500</v>
      </c>
      <c r="H275" t="str">
        <f t="shared" si="24"/>
        <v>Z</v>
      </c>
      <c r="I275" s="1">
        <v>1654937</v>
      </c>
      <c r="J275" s="1">
        <v>197827</v>
      </c>
      <c r="K275" s="1">
        <v>189801</v>
      </c>
      <c r="L275" s="1">
        <v>158188</v>
      </c>
      <c r="M275" s="1">
        <v>9089</v>
      </c>
      <c r="N275" s="1">
        <v>1641773</v>
      </c>
      <c r="O275" s="2">
        <f t="shared" si="20"/>
        <v>0.99204561865496999</v>
      </c>
      <c r="P275">
        <f t="shared" si="21"/>
        <v>1</v>
      </c>
      <c r="Q275" s="1">
        <v>393</v>
      </c>
      <c r="R275" s="1">
        <v>46221</v>
      </c>
      <c r="S275" s="1">
        <v>880368</v>
      </c>
      <c r="T275" s="1">
        <v>97294</v>
      </c>
      <c r="U275" s="1">
        <v>783074</v>
      </c>
      <c r="V275" s="1">
        <v>696889</v>
      </c>
      <c r="W275" s="1">
        <v>183479</v>
      </c>
      <c r="X275" s="1">
        <v>2188880</v>
      </c>
      <c r="Y275" s="1">
        <v>235441</v>
      </c>
      <c r="Z275" s="1">
        <v>295567</v>
      </c>
      <c r="AA275" s="1">
        <v>239671</v>
      </c>
      <c r="AB275" s="1">
        <v>9851</v>
      </c>
      <c r="AC275" s="1">
        <v>2174006</v>
      </c>
      <c r="AD275" s="2">
        <f t="shared" si="22"/>
        <v>0.99320474397865577</v>
      </c>
      <c r="AE275">
        <f t="shared" si="23"/>
        <v>1</v>
      </c>
      <c r="AF275" s="1">
        <v>390</v>
      </c>
      <c r="AG275" s="1">
        <v>71094</v>
      </c>
      <c r="AH275" s="1">
        <v>1878348</v>
      </c>
      <c r="AI275" s="1">
        <v>83840</v>
      </c>
      <c r="AJ275" s="1">
        <v>1794508</v>
      </c>
      <c r="AK275" s="1">
        <v>1500612</v>
      </c>
      <c r="AL275" s="1">
        <v>377736</v>
      </c>
    </row>
    <row r="276" spans="1:38" x14ac:dyDescent="0.2">
      <c r="A276">
        <v>308</v>
      </c>
      <c r="B276" t="s">
        <v>404</v>
      </c>
      <c r="C276" t="s">
        <v>861</v>
      </c>
      <c r="D276" t="s">
        <v>1036</v>
      </c>
      <c r="E276" t="s">
        <v>1210</v>
      </c>
      <c r="F276" t="s">
        <v>1305</v>
      </c>
      <c r="G276" s="7">
        <v>540</v>
      </c>
      <c r="H276" t="str">
        <f t="shared" si="24"/>
        <v>Z</v>
      </c>
      <c r="I276" s="1">
        <v>1651533</v>
      </c>
      <c r="J276" s="1">
        <v>35417</v>
      </c>
      <c r="K276" s="1">
        <v>18389</v>
      </c>
      <c r="L276" s="1">
        <v>16867</v>
      </c>
      <c r="M276" s="1">
        <v>84832</v>
      </c>
      <c r="N276" s="1">
        <v>1505391</v>
      </c>
      <c r="O276" s="2">
        <f t="shared" si="20"/>
        <v>0.91151130495121802</v>
      </c>
      <c r="P276">
        <f t="shared" si="21"/>
        <v>1</v>
      </c>
      <c r="Q276" s="1">
        <v>3108</v>
      </c>
      <c r="R276" s="1">
        <v>229125</v>
      </c>
      <c r="S276" s="1">
        <v>852016</v>
      </c>
      <c r="T276" s="1">
        <v>497707</v>
      </c>
      <c r="U276" s="1">
        <v>354309</v>
      </c>
      <c r="V276" s="1">
        <v>222383</v>
      </c>
      <c r="W276" s="1">
        <v>629633</v>
      </c>
      <c r="X276" s="1">
        <v>1587537</v>
      </c>
      <c r="Y276" s="1">
        <v>7848</v>
      </c>
      <c r="Z276" s="1">
        <v>852</v>
      </c>
      <c r="AA276" s="1">
        <v>735</v>
      </c>
      <c r="AB276" s="1">
        <v>66100</v>
      </c>
      <c r="AC276" s="1">
        <v>1428679</v>
      </c>
      <c r="AD276" s="2">
        <f t="shared" si="22"/>
        <v>0.89993430074385672</v>
      </c>
      <c r="AE276">
        <f t="shared" si="23"/>
        <v>1</v>
      </c>
      <c r="AF276" s="1">
        <v>2272</v>
      </c>
      <c r="AG276" s="1">
        <v>250121</v>
      </c>
      <c r="AH276" s="1">
        <v>745643</v>
      </c>
      <c r="AI276" s="1">
        <v>310246</v>
      </c>
      <c r="AJ276" s="1">
        <v>435397</v>
      </c>
      <c r="AK276" s="1">
        <v>315176</v>
      </c>
      <c r="AL276" s="1">
        <v>430467</v>
      </c>
    </row>
    <row r="277" spans="1:38" x14ac:dyDescent="0.2">
      <c r="A277">
        <v>309</v>
      </c>
      <c r="B277" t="s">
        <v>383</v>
      </c>
      <c r="C277" t="s">
        <v>840</v>
      </c>
      <c r="D277" t="s">
        <v>1045</v>
      </c>
      <c r="E277" t="s">
        <v>1219</v>
      </c>
      <c r="F277" t="s">
        <v>1309</v>
      </c>
      <c r="G277" s="7">
        <v>400</v>
      </c>
      <c r="H277" t="str">
        <f t="shared" si="24"/>
        <v>K</v>
      </c>
      <c r="I277" s="1">
        <v>1649170</v>
      </c>
      <c r="J277" s="1">
        <v>-50383</v>
      </c>
      <c r="K277" s="1">
        <v>-91617</v>
      </c>
      <c r="L277" s="1">
        <v>-83308</v>
      </c>
      <c r="M277" s="1">
        <v>32410</v>
      </c>
      <c r="N277" s="1">
        <v>400000</v>
      </c>
      <c r="O277" s="2">
        <f t="shared" si="20"/>
        <v>0.24254625053814949</v>
      </c>
      <c r="P277">
        <f t="shared" si="21"/>
        <v>0</v>
      </c>
      <c r="Q277" s="1">
        <v>996</v>
      </c>
      <c r="R277" s="1">
        <v>61552</v>
      </c>
      <c r="S277" s="1">
        <v>444031</v>
      </c>
      <c r="T277" s="1">
        <v>158235</v>
      </c>
      <c r="U277" s="1">
        <v>285796</v>
      </c>
      <c r="V277" s="1">
        <v>80984</v>
      </c>
      <c r="W277" s="1">
        <v>363047</v>
      </c>
      <c r="X277" s="1">
        <v>1713729</v>
      </c>
      <c r="Y277" s="1">
        <v>-488</v>
      </c>
      <c r="Z277" s="1">
        <v>-9791</v>
      </c>
      <c r="AA277" s="1">
        <v>-9829</v>
      </c>
      <c r="AB277" s="1">
        <v>17776</v>
      </c>
      <c r="AC277" s="1">
        <v>0</v>
      </c>
      <c r="AD277" s="2">
        <f t="shared" si="22"/>
        <v>0</v>
      </c>
      <c r="AE277">
        <f t="shared" si="23"/>
        <v>0</v>
      </c>
      <c r="AF277" s="1">
        <v>693</v>
      </c>
      <c r="AG277" s="1">
        <v>61126</v>
      </c>
      <c r="AH277" s="1">
        <v>468983</v>
      </c>
      <c r="AI277" s="1">
        <v>141262</v>
      </c>
      <c r="AJ277" s="1">
        <v>327721</v>
      </c>
      <c r="AK277" s="1">
        <v>242860</v>
      </c>
      <c r="AL277" s="1">
        <v>226123</v>
      </c>
    </row>
    <row r="278" spans="1:38" x14ac:dyDescent="0.2">
      <c r="A278">
        <v>310</v>
      </c>
      <c r="B278" t="s">
        <v>415</v>
      </c>
      <c r="C278" t="s">
        <v>872</v>
      </c>
      <c r="D278" t="s">
        <v>982</v>
      </c>
      <c r="E278" t="s">
        <v>1146</v>
      </c>
      <c r="F278" t="s">
        <v>1300</v>
      </c>
      <c r="G278" s="7">
        <v>500</v>
      </c>
      <c r="H278" t="str">
        <f t="shared" si="24"/>
        <v>Z</v>
      </c>
      <c r="I278" s="1">
        <v>1647507</v>
      </c>
      <c r="J278" s="1">
        <v>20476</v>
      </c>
      <c r="K278" s="1">
        <v>19294</v>
      </c>
      <c r="L278" s="1">
        <v>16549</v>
      </c>
      <c r="M278" s="1">
        <v>154</v>
      </c>
      <c r="N278" s="1">
        <v>0</v>
      </c>
      <c r="O278" s="2">
        <f t="shared" si="20"/>
        <v>0</v>
      </c>
      <c r="P278">
        <f t="shared" si="21"/>
        <v>0</v>
      </c>
      <c r="Q278" s="1">
        <v>36</v>
      </c>
      <c r="R278" s="1">
        <v>5932.5379999999996</v>
      </c>
      <c r="S278" s="1">
        <v>439318</v>
      </c>
      <c r="T278" s="1">
        <v>2088</v>
      </c>
      <c r="U278" s="1">
        <v>437230</v>
      </c>
      <c r="V278" s="1">
        <v>223432</v>
      </c>
      <c r="W278" s="1">
        <v>215885.90100000001</v>
      </c>
      <c r="X278" s="1">
        <v>1543844</v>
      </c>
      <c r="Y278" s="1">
        <v>45556</v>
      </c>
      <c r="Z278" s="1">
        <v>48762</v>
      </c>
      <c r="AA278" s="1">
        <v>39617</v>
      </c>
      <c r="AB278" s="1">
        <v>79</v>
      </c>
      <c r="AC278" s="1">
        <v>4611</v>
      </c>
      <c r="AD278" s="2">
        <f t="shared" si="22"/>
        <v>2.9867007288301149E-3</v>
      </c>
      <c r="AE278">
        <f t="shared" si="23"/>
        <v>0</v>
      </c>
      <c r="AF278" s="1">
        <v>46</v>
      </c>
      <c r="AG278" s="1">
        <v>9219</v>
      </c>
      <c r="AH278" s="1">
        <v>342174</v>
      </c>
      <c r="AI278" s="1">
        <v>6371</v>
      </c>
      <c r="AJ278" s="1">
        <v>335803</v>
      </c>
      <c r="AK278" s="1">
        <v>200973</v>
      </c>
      <c r="AL278" s="1">
        <v>141201</v>
      </c>
    </row>
    <row r="279" spans="1:38" x14ac:dyDescent="0.2">
      <c r="A279">
        <v>311</v>
      </c>
      <c r="B279" t="s">
        <v>460</v>
      </c>
      <c r="C279" t="s">
        <v>776</v>
      </c>
      <c r="D279" t="s">
        <v>1041</v>
      </c>
      <c r="E279" t="s">
        <v>1214</v>
      </c>
      <c r="F279" t="s">
        <v>1294</v>
      </c>
      <c r="G279" s="7">
        <v>540</v>
      </c>
      <c r="H279" t="str">
        <f t="shared" si="24"/>
        <v>Z</v>
      </c>
      <c r="I279" s="1">
        <v>1641026</v>
      </c>
      <c r="J279" s="1">
        <v>54280</v>
      </c>
      <c r="K279" s="1">
        <v>49895</v>
      </c>
      <c r="L279" s="1">
        <v>37292</v>
      </c>
      <c r="M279" s="1">
        <v>20611</v>
      </c>
      <c r="N279" s="1">
        <v>0</v>
      </c>
      <c r="O279" s="2">
        <f t="shared" si="20"/>
        <v>0</v>
      </c>
      <c r="P279">
        <f t="shared" si="21"/>
        <v>0</v>
      </c>
      <c r="Q279" s="1">
        <v>1338</v>
      </c>
      <c r="R279" s="1">
        <v>191867</v>
      </c>
      <c r="S279" s="1">
        <v>780493</v>
      </c>
      <c r="T279" s="1">
        <v>103446</v>
      </c>
      <c r="U279" s="1">
        <v>677047</v>
      </c>
      <c r="V279" s="1">
        <v>129303</v>
      </c>
      <c r="W279" s="1">
        <v>651190</v>
      </c>
      <c r="X279" s="1">
        <v>1142427</v>
      </c>
      <c r="Y279" s="1">
        <v>17662</v>
      </c>
      <c r="Z279" s="1">
        <v>34608</v>
      </c>
      <c r="AA279" s="1">
        <v>30274</v>
      </c>
      <c r="AB279" s="1">
        <v>14882</v>
      </c>
      <c r="AC279" s="1">
        <v>0</v>
      </c>
      <c r="AD279" s="2">
        <f t="shared" si="22"/>
        <v>0</v>
      </c>
      <c r="AE279">
        <f t="shared" si="23"/>
        <v>0</v>
      </c>
      <c r="AF279" s="1">
        <v>900</v>
      </c>
      <c r="AG279" s="1">
        <v>218279</v>
      </c>
      <c r="AH279" s="1">
        <v>940866</v>
      </c>
      <c r="AI279" s="1">
        <v>139720</v>
      </c>
      <c r="AJ279" s="1">
        <v>801146</v>
      </c>
      <c r="AK279" s="1">
        <v>106886</v>
      </c>
      <c r="AL279" s="1">
        <v>833980</v>
      </c>
    </row>
    <row r="280" spans="1:38" x14ac:dyDescent="0.2">
      <c r="A280">
        <v>312</v>
      </c>
      <c r="B280" t="s">
        <v>285</v>
      </c>
      <c r="C280" t="s">
        <v>741</v>
      </c>
      <c r="D280" t="s">
        <v>969</v>
      </c>
      <c r="E280" t="s">
        <v>1126</v>
      </c>
      <c r="F280" t="s">
        <v>1309</v>
      </c>
      <c r="G280" s="7">
        <v>400</v>
      </c>
      <c r="H280" t="str">
        <f t="shared" si="24"/>
        <v>K</v>
      </c>
      <c r="I280" s="1">
        <v>1640961</v>
      </c>
      <c r="J280" s="1">
        <v>2308</v>
      </c>
      <c r="K280" s="1">
        <v>2208</v>
      </c>
      <c r="L280" s="1">
        <v>2208</v>
      </c>
      <c r="M280" s="1">
        <v>8235</v>
      </c>
      <c r="N280" s="1">
        <v>955510.49572000024</v>
      </c>
      <c r="O280" s="2">
        <f t="shared" si="20"/>
        <v>0.58228714498394551</v>
      </c>
      <c r="P280">
        <f t="shared" si="21"/>
        <v>1</v>
      </c>
      <c r="Q280" s="1">
        <v>448</v>
      </c>
      <c r="R280" s="1">
        <v>48357</v>
      </c>
      <c r="S280" s="1">
        <v>541681</v>
      </c>
      <c r="T280" s="1">
        <v>159911</v>
      </c>
      <c r="U280" s="1">
        <v>381770</v>
      </c>
      <c r="V280" s="1">
        <v>99198</v>
      </c>
      <c r="W280" s="1">
        <v>442483</v>
      </c>
      <c r="X280" s="1">
        <v>2534056</v>
      </c>
      <c r="Y280" s="1">
        <v>46328</v>
      </c>
      <c r="Z280" s="1">
        <v>50192</v>
      </c>
      <c r="AA280" s="1">
        <v>41228</v>
      </c>
      <c r="AB280" s="1">
        <v>8983</v>
      </c>
      <c r="AC280" s="1">
        <v>1182198</v>
      </c>
      <c r="AD280" s="2">
        <f t="shared" si="22"/>
        <v>0.46652402314708119</v>
      </c>
      <c r="AE280">
        <f t="shared" si="23"/>
        <v>0</v>
      </c>
      <c r="AF280" s="1">
        <v>550</v>
      </c>
      <c r="AG280" s="1">
        <v>77592</v>
      </c>
      <c r="AH280" s="1">
        <v>654939</v>
      </c>
      <c r="AI280" s="1">
        <v>141845</v>
      </c>
      <c r="AJ280" s="1">
        <v>513094</v>
      </c>
      <c r="AK280" s="1">
        <v>411277</v>
      </c>
      <c r="AL280" s="1">
        <v>243662</v>
      </c>
    </row>
    <row r="281" spans="1:38" x14ac:dyDescent="0.2">
      <c r="A281">
        <v>313</v>
      </c>
      <c r="B281" t="s">
        <v>500</v>
      </c>
      <c r="C281" t="s">
        <v>954</v>
      </c>
      <c r="D281" t="s">
        <v>1109</v>
      </c>
      <c r="E281" t="s">
        <v>1285</v>
      </c>
      <c r="F281" t="s">
        <v>1220</v>
      </c>
      <c r="G281" s="7">
        <v>450</v>
      </c>
      <c r="H281" t="str">
        <f t="shared" si="24"/>
        <v>K</v>
      </c>
      <c r="I281" s="1">
        <v>324289.02895000001</v>
      </c>
      <c r="J281" s="1">
        <v>-43585.641320000002</v>
      </c>
      <c r="K281" s="1">
        <v>-196559.12145999999</v>
      </c>
      <c r="L281" s="1">
        <v>-180023.94084</v>
      </c>
      <c r="M281" s="1">
        <v>9763.4210600000006</v>
      </c>
      <c r="N281" s="1">
        <v>81.544471476703222</v>
      </c>
      <c r="O281" s="2">
        <f t="shared" si="20"/>
        <v>2.5145615237349278E-4</v>
      </c>
      <c r="P281">
        <f t="shared" si="21"/>
        <v>0</v>
      </c>
      <c r="Q281" s="1">
        <v>172</v>
      </c>
      <c r="R281" s="1">
        <v>480381.50834</v>
      </c>
      <c r="S281" s="1">
        <v>502978.41966999997</v>
      </c>
      <c r="T281" s="1">
        <v>386694.35506999999</v>
      </c>
      <c r="U281" s="1">
        <v>116284.0646</v>
      </c>
      <c r="V281" s="1">
        <v>47178.328450000001</v>
      </c>
      <c r="W281" s="1">
        <v>439868.52257999999</v>
      </c>
      <c r="X281" s="1">
        <v>244961.95168999999</v>
      </c>
      <c r="Y281" s="1">
        <v>-5977.8076300000002</v>
      </c>
      <c r="Z281" s="1">
        <v>-12602.938039999999</v>
      </c>
      <c r="AA281" s="1">
        <v>-14050.29673</v>
      </c>
      <c r="AB281" s="1">
        <v>4896.60383</v>
      </c>
      <c r="AC281" s="1">
        <v>260</v>
      </c>
      <c r="AD281" s="2">
        <f t="shared" si="22"/>
        <v>1.0613893227346208E-3</v>
      </c>
      <c r="AE281">
        <f t="shared" si="23"/>
        <v>0</v>
      </c>
      <c r="AF281" s="1">
        <v>141</v>
      </c>
      <c r="AG281" s="1">
        <v>180892.25474</v>
      </c>
      <c r="AH281" s="1">
        <v>222761.22240999999</v>
      </c>
      <c r="AI281" s="1">
        <v>124411.20756</v>
      </c>
      <c r="AJ281" s="1">
        <v>98350.014850000007</v>
      </c>
      <c r="AK281" s="1">
        <v>57718.220560000002</v>
      </c>
      <c r="AL281" s="1">
        <v>165043.00185</v>
      </c>
    </row>
    <row r="282" spans="1:38" x14ac:dyDescent="0.2">
      <c r="A282">
        <v>314</v>
      </c>
      <c r="B282" t="s">
        <v>271</v>
      </c>
      <c r="C282" t="s">
        <v>727</v>
      </c>
      <c r="D282" t="s">
        <v>1060</v>
      </c>
      <c r="E282" t="s">
        <v>1233</v>
      </c>
      <c r="F282" t="s">
        <v>1294</v>
      </c>
      <c r="G282" s="7">
        <v>500</v>
      </c>
      <c r="H282" t="str">
        <f t="shared" si="24"/>
        <v>Z</v>
      </c>
      <c r="I282" s="1">
        <v>1630707</v>
      </c>
      <c r="J282" s="1">
        <v>321131</v>
      </c>
      <c r="K282" s="1">
        <v>302593</v>
      </c>
      <c r="L282" s="1">
        <v>244266</v>
      </c>
      <c r="M282" s="1">
        <v>97200</v>
      </c>
      <c r="N282" s="1">
        <v>0</v>
      </c>
      <c r="O282" s="2">
        <f t="shared" si="20"/>
        <v>0</v>
      </c>
      <c r="P282">
        <f t="shared" si="21"/>
        <v>0</v>
      </c>
      <c r="Q282" s="1">
        <v>892</v>
      </c>
      <c r="R282" s="1">
        <v>127411</v>
      </c>
      <c r="S282" s="1">
        <v>2245445</v>
      </c>
      <c r="T282" s="1">
        <v>1743774</v>
      </c>
      <c r="U282" s="1">
        <v>501671</v>
      </c>
      <c r="V282" s="1">
        <v>1236789</v>
      </c>
      <c r="W282" s="1">
        <v>1008656</v>
      </c>
      <c r="X282" s="1">
        <v>2710560</v>
      </c>
      <c r="Y282" s="1">
        <v>734404</v>
      </c>
      <c r="Z282" s="1">
        <v>636292</v>
      </c>
      <c r="AA282" s="1">
        <v>517328</v>
      </c>
      <c r="AB282" s="1">
        <v>133640</v>
      </c>
      <c r="AC282" s="1">
        <v>0</v>
      </c>
      <c r="AD282" s="2">
        <f t="shared" si="22"/>
        <v>0</v>
      </c>
      <c r="AE282">
        <f t="shared" si="23"/>
        <v>0</v>
      </c>
      <c r="AF282" s="1">
        <v>1073</v>
      </c>
      <c r="AG282" s="1">
        <v>197138</v>
      </c>
      <c r="AH282" s="1">
        <v>4254472</v>
      </c>
      <c r="AI282" s="1">
        <v>2965178</v>
      </c>
      <c r="AJ282" s="1">
        <v>1289294</v>
      </c>
      <c r="AK282" s="1">
        <v>1737925</v>
      </c>
      <c r="AL282" s="1">
        <v>2516548</v>
      </c>
    </row>
    <row r="283" spans="1:38" x14ac:dyDescent="0.2">
      <c r="A283">
        <v>315</v>
      </c>
      <c r="B283" t="s">
        <v>470</v>
      </c>
      <c r="C283" t="s">
        <v>926</v>
      </c>
      <c r="D283" t="s">
        <v>1113</v>
      </c>
      <c r="E283" t="s">
        <v>1289</v>
      </c>
      <c r="F283" t="s">
        <v>1306</v>
      </c>
      <c r="G283" s="7">
        <v>500</v>
      </c>
      <c r="H283" t="str">
        <f t="shared" si="24"/>
        <v>Z</v>
      </c>
      <c r="I283" s="1">
        <v>1625425</v>
      </c>
      <c r="J283" s="1">
        <v>156387</v>
      </c>
      <c r="K283" s="1">
        <v>154762</v>
      </c>
      <c r="L283" s="1">
        <v>125621</v>
      </c>
      <c r="M283" s="1">
        <v>30834</v>
      </c>
      <c r="N283" s="1">
        <v>20075</v>
      </c>
      <c r="O283" s="2">
        <f t="shared" si="20"/>
        <v>1.2350615992740361E-2</v>
      </c>
      <c r="P283">
        <f t="shared" si="21"/>
        <v>0</v>
      </c>
      <c r="Q283" s="1">
        <v>1218</v>
      </c>
      <c r="R283" s="1">
        <v>105664.28720000001</v>
      </c>
      <c r="S283" s="1">
        <v>900858</v>
      </c>
      <c r="T283" s="1">
        <v>294045</v>
      </c>
      <c r="U283" s="1">
        <v>606813</v>
      </c>
      <c r="V283" s="1">
        <v>436717</v>
      </c>
      <c r="W283" s="1">
        <v>464141.35193</v>
      </c>
      <c r="X283" s="1">
        <v>1058101.2104199999</v>
      </c>
      <c r="Y283" s="1">
        <v>69192.460769999991</v>
      </c>
      <c r="Z283" s="1">
        <v>16439.82749</v>
      </c>
      <c r="AA283" s="1">
        <v>-2093.7895800000001</v>
      </c>
      <c r="AB283" s="1">
        <v>33758.354720000003</v>
      </c>
      <c r="AC283" s="1">
        <v>126056</v>
      </c>
      <c r="AD283" s="2">
        <f t="shared" si="22"/>
        <v>0.11913416104113865</v>
      </c>
      <c r="AE283">
        <f t="shared" si="23"/>
        <v>0</v>
      </c>
      <c r="AF283" s="1">
        <v>944</v>
      </c>
      <c r="AG283" s="1">
        <v>130839.77576999999</v>
      </c>
      <c r="AH283" s="1">
        <v>673129.31010999996</v>
      </c>
      <c r="AI283" s="1">
        <v>283783.99543000001</v>
      </c>
      <c r="AJ283" s="1">
        <v>389345.31468000001</v>
      </c>
      <c r="AK283" s="1">
        <v>356001.93401999999</v>
      </c>
      <c r="AL283" s="1">
        <v>317127.37608999998</v>
      </c>
    </row>
    <row r="284" spans="1:38" x14ac:dyDescent="0.2">
      <c r="A284">
        <v>316</v>
      </c>
      <c r="B284" t="s">
        <v>266</v>
      </c>
      <c r="C284" t="s">
        <v>722</v>
      </c>
      <c r="D284" t="s">
        <v>1032</v>
      </c>
      <c r="E284" t="s">
        <v>1204</v>
      </c>
      <c r="F284" t="s">
        <v>1311</v>
      </c>
      <c r="G284" s="7">
        <v>500</v>
      </c>
      <c r="H284" t="str">
        <f t="shared" si="24"/>
        <v>Z</v>
      </c>
      <c r="I284" s="1">
        <v>1624266</v>
      </c>
      <c r="J284" s="1">
        <v>45233</v>
      </c>
      <c r="K284" s="1">
        <v>32083</v>
      </c>
      <c r="L284" s="1">
        <v>21807</v>
      </c>
      <c r="M284" s="1">
        <v>56141</v>
      </c>
      <c r="N284" s="1">
        <v>576080</v>
      </c>
      <c r="O284" s="2">
        <f t="shared" si="20"/>
        <v>0.35467097138030346</v>
      </c>
      <c r="P284">
        <f t="shared" si="21"/>
        <v>0</v>
      </c>
      <c r="Q284" s="1">
        <v>2851</v>
      </c>
      <c r="R284" s="1">
        <v>226986.11621000001</v>
      </c>
      <c r="S284" s="1">
        <v>882373</v>
      </c>
      <c r="T284" s="1">
        <v>650118</v>
      </c>
      <c r="U284" s="1">
        <v>232255</v>
      </c>
      <c r="V284" s="1">
        <v>154691</v>
      </c>
      <c r="W284" s="1">
        <v>727682.31198</v>
      </c>
      <c r="X284" s="1">
        <v>2780615</v>
      </c>
      <c r="Y284" s="1">
        <v>-75331</v>
      </c>
      <c r="Z284" s="1">
        <v>-152564</v>
      </c>
      <c r="AA284" s="1">
        <v>-142220</v>
      </c>
      <c r="AB284" s="1">
        <v>125074</v>
      </c>
      <c r="AC284" s="1">
        <v>1234997</v>
      </c>
      <c r="AD284" s="2">
        <f t="shared" si="22"/>
        <v>0.44414527002120036</v>
      </c>
      <c r="AE284">
        <f t="shared" si="23"/>
        <v>0</v>
      </c>
      <c r="AF284" s="1">
        <v>3435</v>
      </c>
      <c r="AG284" s="1">
        <v>406613</v>
      </c>
      <c r="AH284" s="1">
        <v>2418167</v>
      </c>
      <c r="AI284" s="1">
        <v>1860810</v>
      </c>
      <c r="AJ284" s="1">
        <v>557357</v>
      </c>
      <c r="AK284" s="1">
        <v>277351</v>
      </c>
      <c r="AL284" s="1">
        <v>2140816</v>
      </c>
    </row>
    <row r="285" spans="1:38" x14ac:dyDescent="0.2">
      <c r="A285">
        <v>317</v>
      </c>
      <c r="B285" t="s">
        <v>197</v>
      </c>
      <c r="C285" t="s">
        <v>653</v>
      </c>
      <c r="D285" t="s">
        <v>974</v>
      </c>
      <c r="E285" t="s">
        <v>1131</v>
      </c>
      <c r="F285" t="s">
        <v>1305</v>
      </c>
      <c r="G285" s="7">
        <v>400</v>
      </c>
      <c r="H285" t="str">
        <f t="shared" si="24"/>
        <v>K</v>
      </c>
      <c r="I285" s="1">
        <v>1621835</v>
      </c>
      <c r="J285" s="1">
        <v>41841</v>
      </c>
      <c r="K285" s="1">
        <v>35968</v>
      </c>
      <c r="L285" s="1">
        <v>35968</v>
      </c>
      <c r="M285" s="1">
        <v>5607</v>
      </c>
      <c r="N285" s="1">
        <v>630</v>
      </c>
      <c r="O285" s="2">
        <f t="shared" si="20"/>
        <v>3.8844888660067146E-4</v>
      </c>
      <c r="P285">
        <f t="shared" si="21"/>
        <v>0</v>
      </c>
      <c r="Q285" s="1">
        <v>127.5</v>
      </c>
      <c r="R285" s="1">
        <v>5566.1518999999998</v>
      </c>
      <c r="S285" s="1">
        <v>590019</v>
      </c>
      <c r="T285" s="1">
        <v>155586</v>
      </c>
      <c r="U285" s="1">
        <v>434433</v>
      </c>
      <c r="V285" s="1">
        <v>114315</v>
      </c>
      <c r="W285" s="1">
        <v>475703.82792000001</v>
      </c>
      <c r="X285" s="1">
        <v>3941820</v>
      </c>
      <c r="Y285" s="1">
        <v>101170</v>
      </c>
      <c r="Z285" s="1">
        <v>67712</v>
      </c>
      <c r="AA285" s="1">
        <v>54059</v>
      </c>
      <c r="AB285" s="1">
        <v>12024</v>
      </c>
      <c r="AC285" s="1">
        <v>10707</v>
      </c>
      <c r="AD285" s="2">
        <f t="shared" si="22"/>
        <v>2.7162579722057323E-3</v>
      </c>
      <c r="AE285">
        <f t="shared" si="23"/>
        <v>0</v>
      </c>
      <c r="AF285" s="1">
        <v>181</v>
      </c>
      <c r="AG285" s="1">
        <v>25503</v>
      </c>
      <c r="AH285" s="1">
        <v>1096569</v>
      </c>
      <c r="AI285" s="1">
        <v>310161</v>
      </c>
      <c r="AJ285" s="1">
        <v>786408</v>
      </c>
      <c r="AK285" s="1">
        <v>233310</v>
      </c>
      <c r="AL285" s="1">
        <v>863258.5</v>
      </c>
    </row>
    <row r="286" spans="1:38" x14ac:dyDescent="0.2">
      <c r="A286">
        <v>318</v>
      </c>
      <c r="B286" t="s">
        <v>254</v>
      </c>
      <c r="C286" t="s">
        <v>710</v>
      </c>
      <c r="D286" t="s">
        <v>998</v>
      </c>
      <c r="E286" t="s">
        <v>1158</v>
      </c>
      <c r="F286" t="s">
        <v>1311</v>
      </c>
      <c r="G286" s="7">
        <v>400</v>
      </c>
      <c r="H286" t="str">
        <f t="shared" si="24"/>
        <v>K</v>
      </c>
      <c r="I286" s="1">
        <v>1614657</v>
      </c>
      <c r="J286" s="1">
        <v>168540</v>
      </c>
      <c r="K286" s="1">
        <v>107839</v>
      </c>
      <c r="L286" s="1">
        <v>84991</v>
      </c>
      <c r="M286" s="1">
        <v>173193</v>
      </c>
      <c r="N286" s="1">
        <v>398480</v>
      </c>
      <c r="O286" s="2">
        <f t="shared" si="20"/>
        <v>0.2467892561701959</v>
      </c>
      <c r="P286">
        <f t="shared" si="21"/>
        <v>0</v>
      </c>
      <c r="Q286" s="1">
        <v>528</v>
      </c>
      <c r="R286" s="1">
        <v>39175</v>
      </c>
      <c r="S286" s="1">
        <v>1729657</v>
      </c>
      <c r="T286" s="1">
        <v>1517637</v>
      </c>
      <c r="U286" s="1">
        <v>212020</v>
      </c>
      <c r="V286" s="1">
        <v>361595</v>
      </c>
      <c r="W286" s="1">
        <v>1368062</v>
      </c>
      <c r="X286" s="1">
        <v>2926297</v>
      </c>
      <c r="Y286" s="1">
        <v>222034</v>
      </c>
      <c r="Z286" s="1">
        <v>70166</v>
      </c>
      <c r="AA286" s="1">
        <v>59196</v>
      </c>
      <c r="AB286" s="1">
        <v>323906</v>
      </c>
      <c r="AC286" s="1">
        <v>453523</v>
      </c>
      <c r="AD286" s="2">
        <f t="shared" si="22"/>
        <v>0.1549818764124079</v>
      </c>
      <c r="AE286">
        <f t="shared" si="23"/>
        <v>0</v>
      </c>
      <c r="AF286" s="1">
        <v>672</v>
      </c>
      <c r="AG286" s="1">
        <v>91415</v>
      </c>
      <c r="AH286" s="1">
        <v>2708624</v>
      </c>
      <c r="AI286" s="1">
        <v>2219247</v>
      </c>
      <c r="AJ286" s="1">
        <v>489377</v>
      </c>
      <c r="AK286" s="1">
        <v>329556</v>
      </c>
      <c r="AL286" s="1">
        <v>2379068</v>
      </c>
    </row>
    <row r="287" spans="1:38" x14ac:dyDescent="0.2">
      <c r="A287">
        <v>319</v>
      </c>
      <c r="B287" t="s">
        <v>223</v>
      </c>
      <c r="C287" t="s">
        <v>679</v>
      </c>
      <c r="D287" t="s">
        <v>998</v>
      </c>
      <c r="E287" t="s">
        <v>1158</v>
      </c>
      <c r="F287" t="s">
        <v>1311</v>
      </c>
      <c r="G287" s="7">
        <v>400</v>
      </c>
      <c r="H287" t="str">
        <f t="shared" si="24"/>
        <v>K</v>
      </c>
      <c r="I287" s="1">
        <v>1614628</v>
      </c>
      <c r="J287" s="1">
        <v>137511</v>
      </c>
      <c r="K287" s="1">
        <v>61187</v>
      </c>
      <c r="L287" s="1">
        <v>44736</v>
      </c>
      <c r="M287" s="1">
        <v>173480</v>
      </c>
      <c r="N287" s="1">
        <v>498303</v>
      </c>
      <c r="O287" s="2">
        <f t="shared" si="20"/>
        <v>0.30861783643043478</v>
      </c>
      <c r="P287">
        <f t="shared" si="21"/>
        <v>0</v>
      </c>
      <c r="Q287" s="1">
        <v>439</v>
      </c>
      <c r="R287" s="1">
        <v>40636</v>
      </c>
      <c r="S287" s="1">
        <v>1701082</v>
      </c>
      <c r="T287" s="1">
        <v>1507460</v>
      </c>
      <c r="U287" s="1">
        <v>193622</v>
      </c>
      <c r="V287" s="1">
        <v>308472</v>
      </c>
      <c r="W287" s="1">
        <v>1392610</v>
      </c>
      <c r="X287" s="1">
        <v>3278985</v>
      </c>
      <c r="Y287" s="1">
        <v>131751</v>
      </c>
      <c r="Z287" s="1">
        <v>84303</v>
      </c>
      <c r="AA287" s="1">
        <v>73375</v>
      </c>
      <c r="AB287" s="1">
        <v>94098.124710000004</v>
      </c>
      <c r="AC287" s="1">
        <v>418416</v>
      </c>
      <c r="AD287" s="2">
        <f t="shared" si="22"/>
        <v>0.12760534128701412</v>
      </c>
      <c r="AE287">
        <f t="shared" si="23"/>
        <v>0</v>
      </c>
      <c r="AF287" s="1">
        <v>634.63</v>
      </c>
      <c r="AG287" s="1">
        <v>90596</v>
      </c>
      <c r="AH287" s="1">
        <v>1322342</v>
      </c>
      <c r="AI287" s="1">
        <v>718189</v>
      </c>
      <c r="AJ287" s="1">
        <v>604153</v>
      </c>
      <c r="AK287" s="1">
        <v>326556</v>
      </c>
      <c r="AL287" s="1">
        <v>995786</v>
      </c>
    </row>
    <row r="288" spans="1:38" x14ac:dyDescent="0.2">
      <c r="A288">
        <v>320</v>
      </c>
      <c r="B288" t="s">
        <v>286</v>
      </c>
      <c r="C288" t="s">
        <v>742</v>
      </c>
      <c r="D288" t="s">
        <v>1065</v>
      </c>
      <c r="E288" t="s">
        <v>1239</v>
      </c>
      <c r="F288" t="s">
        <v>1220</v>
      </c>
      <c r="G288" s="7">
        <v>400</v>
      </c>
      <c r="H288" t="str">
        <f t="shared" si="24"/>
        <v>K</v>
      </c>
      <c r="I288" s="1">
        <v>1611252.5</v>
      </c>
      <c r="J288" s="1">
        <v>-92159</v>
      </c>
      <c r="K288" s="1">
        <v>-89099</v>
      </c>
      <c r="L288" s="1">
        <v>-115559.9</v>
      </c>
      <c r="M288" s="1">
        <v>27730</v>
      </c>
      <c r="N288" s="1">
        <v>1108907</v>
      </c>
      <c r="O288" s="2">
        <f t="shared" si="20"/>
        <v>0.68822670562186872</v>
      </c>
      <c r="P288">
        <f t="shared" si="21"/>
        <v>1</v>
      </c>
      <c r="Q288" s="1">
        <v>3866</v>
      </c>
      <c r="R288" s="1">
        <v>440226</v>
      </c>
      <c r="S288" s="1">
        <v>1739619</v>
      </c>
      <c r="T288" s="1">
        <v>433402</v>
      </c>
      <c r="U288" s="1">
        <v>1306217</v>
      </c>
      <c r="V288" s="1">
        <v>447023</v>
      </c>
      <c r="W288" s="1">
        <v>1069159</v>
      </c>
      <c r="X288" s="1">
        <v>2524968</v>
      </c>
      <c r="Y288" s="1">
        <v>103241</v>
      </c>
      <c r="Z288" s="1">
        <v>108184</v>
      </c>
      <c r="AA288" s="1">
        <v>74829</v>
      </c>
      <c r="AB288" s="1">
        <v>38817</v>
      </c>
      <c r="AC288" s="1">
        <v>1013278</v>
      </c>
      <c r="AD288" s="2">
        <f t="shared" si="22"/>
        <v>0.40130330364582839</v>
      </c>
      <c r="AE288">
        <f t="shared" si="23"/>
        <v>0</v>
      </c>
      <c r="AF288" s="1">
        <v>3363</v>
      </c>
      <c r="AG288" s="1">
        <v>627327</v>
      </c>
      <c r="AH288" s="1">
        <v>2667236</v>
      </c>
      <c r="AI288" s="1">
        <v>585036</v>
      </c>
      <c r="AJ288" s="1">
        <v>2082200</v>
      </c>
      <c r="AK288" s="1">
        <v>690977</v>
      </c>
      <c r="AL288" s="1">
        <v>1929868</v>
      </c>
    </row>
    <row r="289" spans="1:38" x14ac:dyDescent="0.2">
      <c r="A289">
        <v>321</v>
      </c>
      <c r="B289" t="s">
        <v>426</v>
      </c>
      <c r="C289" t="s">
        <v>883</v>
      </c>
      <c r="D289" t="s">
        <v>1082</v>
      </c>
      <c r="E289" t="s">
        <v>1241</v>
      </c>
      <c r="F289" t="s">
        <v>1294</v>
      </c>
      <c r="G289" s="7">
        <v>420</v>
      </c>
      <c r="H289" t="str">
        <f t="shared" si="24"/>
        <v>K</v>
      </c>
      <c r="I289" s="1">
        <v>1604420</v>
      </c>
      <c r="J289" s="1">
        <v>42895</v>
      </c>
      <c r="K289" s="1">
        <v>36797</v>
      </c>
      <c r="L289" s="1">
        <v>29146</v>
      </c>
      <c r="M289" s="1">
        <v>22291</v>
      </c>
      <c r="N289" s="1">
        <v>587</v>
      </c>
      <c r="O289" s="2">
        <f t="shared" si="20"/>
        <v>3.6586429987160469E-4</v>
      </c>
      <c r="P289">
        <f t="shared" si="21"/>
        <v>0</v>
      </c>
      <c r="Q289" s="1">
        <v>735</v>
      </c>
      <c r="R289" s="1">
        <v>103442</v>
      </c>
      <c r="S289" s="1">
        <v>1283698</v>
      </c>
      <c r="T289" s="1">
        <v>206969</v>
      </c>
      <c r="U289" s="1">
        <v>1076729</v>
      </c>
      <c r="V289" s="1">
        <v>222859</v>
      </c>
      <c r="W289" s="1">
        <v>1060839</v>
      </c>
      <c r="X289" s="1">
        <v>1458172</v>
      </c>
      <c r="Y289" s="1">
        <v>74545</v>
      </c>
      <c r="Z289" s="1">
        <v>82602</v>
      </c>
      <c r="AA289" s="1">
        <v>68026</v>
      </c>
      <c r="AB289" s="1">
        <v>25839</v>
      </c>
      <c r="AC289" s="1">
        <v>0</v>
      </c>
      <c r="AD289" s="2">
        <f t="shared" si="22"/>
        <v>0</v>
      </c>
      <c r="AE289">
        <f t="shared" si="23"/>
        <v>0</v>
      </c>
      <c r="AF289" s="1">
        <v>763</v>
      </c>
      <c r="AG289" s="1">
        <v>135817</v>
      </c>
      <c r="AH289" s="1">
        <v>1206006</v>
      </c>
      <c r="AI289" s="1">
        <v>232676</v>
      </c>
      <c r="AJ289" s="1">
        <v>973330</v>
      </c>
      <c r="AK289" s="1">
        <v>528772</v>
      </c>
      <c r="AL289" s="1">
        <v>677234</v>
      </c>
    </row>
    <row r="290" spans="1:38" x14ac:dyDescent="0.2">
      <c r="A290">
        <v>322</v>
      </c>
      <c r="B290" t="s">
        <v>462</v>
      </c>
      <c r="C290" t="s">
        <v>918</v>
      </c>
      <c r="D290" t="s">
        <v>974</v>
      </c>
      <c r="E290" t="s">
        <v>1131</v>
      </c>
      <c r="F290" t="s">
        <v>1305</v>
      </c>
      <c r="G290" s="7">
        <v>400</v>
      </c>
      <c r="H290" t="str">
        <f t="shared" si="24"/>
        <v>K</v>
      </c>
      <c r="I290" s="1">
        <v>799018.12581</v>
      </c>
      <c r="J290" s="1">
        <v>22118.839019999999</v>
      </c>
      <c r="K290" s="1">
        <v>20155.417839999998</v>
      </c>
      <c r="L290" s="1">
        <v>16981.861919999999</v>
      </c>
      <c r="M290" s="1">
        <v>3934.4927400000001</v>
      </c>
      <c r="N290" s="1">
        <v>0</v>
      </c>
      <c r="O290" s="2">
        <f t="shared" si="20"/>
        <v>0</v>
      </c>
      <c r="P290">
        <f t="shared" si="21"/>
        <v>0</v>
      </c>
      <c r="Q290" s="1">
        <v>953</v>
      </c>
      <c r="R290" s="1">
        <v>37174</v>
      </c>
      <c r="S290" s="1">
        <v>729922</v>
      </c>
      <c r="T290" s="1">
        <v>315070</v>
      </c>
      <c r="U290" s="1">
        <v>414852</v>
      </c>
      <c r="V290" s="1">
        <v>176741</v>
      </c>
      <c r="W290" s="1">
        <v>474991.01009</v>
      </c>
      <c r="X290" s="1">
        <v>2792458.22</v>
      </c>
      <c r="Y290" s="1">
        <v>43013.599299999987</v>
      </c>
      <c r="Z290" s="1">
        <v>51024.4211</v>
      </c>
      <c r="AA290" s="1">
        <v>10422.58612</v>
      </c>
      <c r="AB290" s="1">
        <v>15801.305560000001</v>
      </c>
      <c r="AC290" s="1">
        <v>0</v>
      </c>
      <c r="AD290" s="2">
        <f t="shared" si="22"/>
        <v>0</v>
      </c>
      <c r="AE290">
        <f t="shared" si="23"/>
        <v>0</v>
      </c>
      <c r="AF290" s="1">
        <v>1069</v>
      </c>
      <c r="AG290" s="1">
        <v>136672.25012000001</v>
      </c>
      <c r="AH290" s="1">
        <v>1370282.4400599999</v>
      </c>
      <c r="AI290" s="1">
        <v>613778.96721999999</v>
      </c>
      <c r="AJ290" s="1">
        <v>756503.47284000006</v>
      </c>
      <c r="AK290" s="1">
        <v>282936.77244999999</v>
      </c>
      <c r="AL290" s="1">
        <v>1062414.27988</v>
      </c>
    </row>
    <row r="291" spans="1:38" x14ac:dyDescent="0.2">
      <c r="A291">
        <v>324</v>
      </c>
      <c r="B291" t="s">
        <v>261</v>
      </c>
      <c r="C291" t="s">
        <v>717</v>
      </c>
      <c r="D291" t="s">
        <v>965</v>
      </c>
      <c r="E291" t="s">
        <v>1122</v>
      </c>
      <c r="F291" t="s">
        <v>1294</v>
      </c>
      <c r="G291" s="7">
        <v>245</v>
      </c>
      <c r="H291" t="str">
        <f t="shared" si="24"/>
        <v>K</v>
      </c>
      <c r="I291" s="1">
        <v>1589430</v>
      </c>
      <c r="J291" s="1">
        <v>60419</v>
      </c>
      <c r="K291" s="1">
        <v>53761</v>
      </c>
      <c r="L291" s="1">
        <v>50654</v>
      </c>
      <c r="M291" s="1">
        <v>35218</v>
      </c>
      <c r="N291" s="1">
        <v>488777</v>
      </c>
      <c r="O291" s="2">
        <f t="shared" si="20"/>
        <v>0.30751716023983439</v>
      </c>
      <c r="P291">
        <f t="shared" si="21"/>
        <v>0</v>
      </c>
      <c r="Q291" s="1">
        <v>4525</v>
      </c>
      <c r="R291" s="1">
        <v>356884</v>
      </c>
      <c r="S291" s="1">
        <v>1714118</v>
      </c>
      <c r="T291" s="1">
        <v>822679</v>
      </c>
      <c r="U291" s="1">
        <v>891439</v>
      </c>
      <c r="V291" s="1">
        <v>732450</v>
      </c>
      <c r="W291" s="1">
        <v>1023860</v>
      </c>
      <c r="X291" s="1">
        <v>2855894</v>
      </c>
      <c r="Y291" s="1">
        <v>-399184</v>
      </c>
      <c r="Z291" s="1">
        <v>-422222</v>
      </c>
      <c r="AA291" s="1">
        <v>-348584</v>
      </c>
      <c r="AB291" s="1">
        <v>48427</v>
      </c>
      <c r="AC291" s="1">
        <v>653419</v>
      </c>
      <c r="AD291" s="2">
        <f t="shared" si="22"/>
        <v>0.22879665701878291</v>
      </c>
      <c r="AE291">
        <f t="shared" si="23"/>
        <v>0</v>
      </c>
      <c r="AF291" s="1">
        <v>4566</v>
      </c>
      <c r="AG291" s="1">
        <v>604819</v>
      </c>
      <c r="AH291" s="1">
        <v>2658802</v>
      </c>
      <c r="AI291" s="1">
        <v>930886</v>
      </c>
      <c r="AJ291" s="1">
        <v>1727916</v>
      </c>
      <c r="AK291" s="1">
        <v>588871</v>
      </c>
      <c r="AL291" s="1">
        <v>2069931</v>
      </c>
    </row>
    <row r="292" spans="1:38" x14ac:dyDescent="0.2">
      <c r="A292">
        <v>325</v>
      </c>
      <c r="B292" t="s">
        <v>360</v>
      </c>
      <c r="C292" t="s">
        <v>817</v>
      </c>
      <c r="D292" t="s">
        <v>1016</v>
      </c>
      <c r="E292" t="s">
        <v>1179</v>
      </c>
      <c r="F292" t="s">
        <v>1306</v>
      </c>
      <c r="G292" s="7">
        <v>500</v>
      </c>
      <c r="H292" t="str">
        <f t="shared" si="24"/>
        <v>Z</v>
      </c>
      <c r="I292" s="1">
        <v>1578210</v>
      </c>
      <c r="J292" s="1">
        <v>47328</v>
      </c>
      <c r="K292" s="1">
        <v>42860</v>
      </c>
      <c r="L292" s="1">
        <v>34270</v>
      </c>
      <c r="M292" s="1">
        <v>124247</v>
      </c>
      <c r="N292" s="1">
        <v>1505005</v>
      </c>
      <c r="O292" s="2">
        <f t="shared" si="20"/>
        <v>0.9536151716184792</v>
      </c>
      <c r="P292">
        <f t="shared" si="21"/>
        <v>1</v>
      </c>
      <c r="Q292" s="1">
        <v>1990</v>
      </c>
      <c r="R292" s="1">
        <v>229712</v>
      </c>
      <c r="S292" s="1">
        <v>1565541</v>
      </c>
      <c r="T292" s="1">
        <v>1118110</v>
      </c>
      <c r="U292" s="1">
        <v>447431</v>
      </c>
      <c r="V292" s="1">
        <v>927962</v>
      </c>
      <c r="W292" s="1">
        <v>637578.82215999998</v>
      </c>
      <c r="X292" s="1">
        <v>1880401.85085</v>
      </c>
      <c r="Y292" s="1">
        <v>57927.713029999999</v>
      </c>
      <c r="Z292" s="1">
        <v>74444.292220000003</v>
      </c>
      <c r="AA292" s="1">
        <v>59689.289520000013</v>
      </c>
      <c r="AB292" s="1">
        <v>146968.46294999999</v>
      </c>
      <c r="AC292" s="1">
        <v>1869983</v>
      </c>
      <c r="AD292" s="2">
        <f t="shared" si="22"/>
        <v>0.99445924239795314</v>
      </c>
      <c r="AE292">
        <f t="shared" si="23"/>
        <v>1</v>
      </c>
      <c r="AF292" s="1">
        <v>1793</v>
      </c>
      <c r="AG292" s="1">
        <v>229074.33218</v>
      </c>
      <c r="AH292" s="1">
        <v>2144408.2900100001</v>
      </c>
      <c r="AI292" s="1">
        <v>1447258.07326</v>
      </c>
      <c r="AJ292" s="1">
        <v>697150.21675000002</v>
      </c>
      <c r="AK292" s="1">
        <v>1809043.2473500001</v>
      </c>
      <c r="AL292" s="1">
        <v>335365.04265999998</v>
      </c>
    </row>
    <row r="293" spans="1:38" x14ac:dyDescent="0.2">
      <c r="A293">
        <v>326</v>
      </c>
      <c r="B293" t="s">
        <v>391</v>
      </c>
      <c r="C293" t="s">
        <v>848</v>
      </c>
      <c r="D293" t="s">
        <v>1014</v>
      </c>
      <c r="E293" t="s">
        <v>1177</v>
      </c>
      <c r="F293" t="s">
        <v>1311</v>
      </c>
      <c r="G293" s="7">
        <v>100</v>
      </c>
      <c r="H293" t="str">
        <f t="shared" si="24"/>
        <v>K</v>
      </c>
      <c r="I293" s="1">
        <v>1569114</v>
      </c>
      <c r="J293" s="1">
        <v>127230</v>
      </c>
      <c r="K293" s="1">
        <v>56682</v>
      </c>
      <c r="L293" s="1">
        <v>43913</v>
      </c>
      <c r="M293" s="1">
        <v>244138</v>
      </c>
      <c r="N293" s="1">
        <v>1352479</v>
      </c>
      <c r="O293" s="2">
        <f t="shared" si="20"/>
        <v>0.86193801087747612</v>
      </c>
      <c r="P293">
        <f t="shared" si="21"/>
        <v>1</v>
      </c>
      <c r="Q293" s="1">
        <v>2807</v>
      </c>
      <c r="R293" s="1">
        <v>327908</v>
      </c>
      <c r="S293" s="1">
        <v>5139410</v>
      </c>
      <c r="T293" s="1">
        <v>4479131</v>
      </c>
      <c r="U293" s="1">
        <v>660279</v>
      </c>
      <c r="V293" s="1">
        <v>3720994</v>
      </c>
      <c r="W293" s="1">
        <v>1417351</v>
      </c>
      <c r="X293" s="1">
        <v>1670438</v>
      </c>
      <c r="Y293" s="1">
        <v>-193751</v>
      </c>
      <c r="Z293" s="1">
        <v>-244020</v>
      </c>
      <c r="AA293" s="1">
        <v>-272671</v>
      </c>
      <c r="AB293" s="1">
        <v>148616</v>
      </c>
      <c r="AC293" s="1">
        <v>1400012</v>
      </c>
      <c r="AD293" s="2">
        <f t="shared" si="22"/>
        <v>0.8381107230558692</v>
      </c>
      <c r="AE293">
        <f t="shared" si="23"/>
        <v>1</v>
      </c>
      <c r="AF293" s="1">
        <v>2474</v>
      </c>
      <c r="AG293" s="1">
        <v>443008</v>
      </c>
      <c r="AH293" s="1">
        <v>4869706</v>
      </c>
      <c r="AI293" s="1">
        <v>4220430</v>
      </c>
      <c r="AJ293" s="1">
        <v>649276</v>
      </c>
      <c r="AK293" s="1">
        <v>3601469</v>
      </c>
      <c r="AL293" s="1">
        <v>1268237</v>
      </c>
    </row>
    <row r="294" spans="1:38" x14ac:dyDescent="0.2">
      <c r="A294">
        <v>327</v>
      </c>
      <c r="B294" t="s">
        <v>302</v>
      </c>
      <c r="C294" t="s">
        <v>758</v>
      </c>
      <c r="D294" t="s">
        <v>1067</v>
      </c>
      <c r="E294" t="s">
        <v>1241</v>
      </c>
      <c r="F294" t="s">
        <v>1294</v>
      </c>
      <c r="G294" s="7">
        <v>400</v>
      </c>
      <c r="H294" t="str">
        <f t="shared" si="24"/>
        <v>K</v>
      </c>
      <c r="I294" s="1">
        <v>1570477</v>
      </c>
      <c r="J294" s="1">
        <v>41879</v>
      </c>
      <c r="K294" s="1">
        <v>27208</v>
      </c>
      <c r="L294" s="1">
        <v>17447</v>
      </c>
      <c r="M294" s="1">
        <v>64281</v>
      </c>
      <c r="N294" s="1">
        <v>729529</v>
      </c>
      <c r="O294" s="2">
        <f t="shared" si="20"/>
        <v>0.46452701949789776</v>
      </c>
      <c r="P294">
        <f t="shared" si="21"/>
        <v>0</v>
      </c>
      <c r="Q294" s="1">
        <v>2428</v>
      </c>
      <c r="R294" s="1">
        <v>226348</v>
      </c>
      <c r="S294" s="1">
        <v>1378367</v>
      </c>
      <c r="T294" s="1">
        <v>899369</v>
      </c>
      <c r="U294" s="1">
        <v>478998</v>
      </c>
      <c r="V294" s="1">
        <v>510591</v>
      </c>
      <c r="W294" s="1">
        <v>656198</v>
      </c>
      <c r="X294" s="1">
        <v>2425638</v>
      </c>
      <c r="Y294" s="1">
        <v>80862</v>
      </c>
      <c r="Z294" s="1">
        <v>47050</v>
      </c>
      <c r="AA294" s="1">
        <v>36871</v>
      </c>
      <c r="AB294" s="1">
        <v>92287</v>
      </c>
      <c r="AC294" s="1">
        <v>889633</v>
      </c>
      <c r="AD294" s="2">
        <f t="shared" si="22"/>
        <v>0.36676247651133431</v>
      </c>
      <c r="AE294">
        <f t="shared" si="23"/>
        <v>0</v>
      </c>
      <c r="AF294" s="1">
        <v>2406</v>
      </c>
      <c r="AG294" s="1">
        <v>275021</v>
      </c>
      <c r="AH294" s="1">
        <v>1892384</v>
      </c>
      <c r="AI294" s="1">
        <v>957695</v>
      </c>
      <c r="AJ294" s="1">
        <v>934689</v>
      </c>
      <c r="AK294" s="1">
        <v>826886</v>
      </c>
      <c r="AL294" s="1">
        <v>1026537</v>
      </c>
    </row>
    <row r="295" spans="1:38" x14ac:dyDescent="0.2">
      <c r="A295">
        <v>328</v>
      </c>
      <c r="B295" t="s">
        <v>434</v>
      </c>
      <c r="C295" t="s">
        <v>891</v>
      </c>
      <c r="D295" t="s">
        <v>975</v>
      </c>
      <c r="E295" t="s">
        <v>1132</v>
      </c>
      <c r="F295" t="s">
        <v>1303</v>
      </c>
      <c r="G295" s="7">
        <v>510</v>
      </c>
      <c r="H295" t="str">
        <f t="shared" si="24"/>
        <v>Z</v>
      </c>
      <c r="I295" s="1">
        <v>1385433</v>
      </c>
      <c r="J295" s="1">
        <v>70569</v>
      </c>
      <c r="K295" s="1">
        <v>42951</v>
      </c>
      <c r="L295" s="1">
        <v>34320</v>
      </c>
      <c r="M295" s="1">
        <v>22557</v>
      </c>
      <c r="N295" s="1">
        <v>527387</v>
      </c>
      <c r="O295" s="2">
        <f t="shared" si="20"/>
        <v>0.38066582793971271</v>
      </c>
      <c r="P295">
        <f t="shared" si="21"/>
        <v>0</v>
      </c>
      <c r="Q295" s="1">
        <v>511</v>
      </c>
      <c r="R295" s="1">
        <v>58980</v>
      </c>
      <c r="S295" s="1">
        <v>1270565</v>
      </c>
      <c r="T295" s="1">
        <v>704886</v>
      </c>
      <c r="U295" s="1">
        <v>565679</v>
      </c>
      <c r="V295" s="1">
        <v>356988</v>
      </c>
      <c r="W295" s="1">
        <v>913577</v>
      </c>
      <c r="X295" s="1">
        <v>1407742</v>
      </c>
      <c r="Y295" s="1">
        <v>-50379</v>
      </c>
      <c r="Z295" s="1">
        <v>-98970</v>
      </c>
      <c r="AA295" s="1">
        <v>-82538</v>
      </c>
      <c r="AB295" s="1">
        <v>23257</v>
      </c>
      <c r="AC295" s="1">
        <v>477830</v>
      </c>
      <c r="AD295" s="2">
        <f t="shared" si="22"/>
        <v>0.33943009443491778</v>
      </c>
      <c r="AE295">
        <f t="shared" si="23"/>
        <v>0</v>
      </c>
      <c r="AF295" s="1">
        <v>541</v>
      </c>
      <c r="AG295" s="1">
        <v>88901</v>
      </c>
      <c r="AH295" s="1">
        <v>1362611</v>
      </c>
      <c r="AI295" s="1">
        <v>791273</v>
      </c>
      <c r="AJ295" s="1">
        <v>571338</v>
      </c>
      <c r="AK295" s="1">
        <v>409690</v>
      </c>
      <c r="AL295" s="1">
        <v>952921</v>
      </c>
    </row>
    <row r="296" spans="1:38" x14ac:dyDescent="0.2">
      <c r="A296">
        <v>329</v>
      </c>
      <c r="B296" t="s">
        <v>338</v>
      </c>
      <c r="C296" t="s">
        <v>795</v>
      </c>
      <c r="D296" t="s">
        <v>1011</v>
      </c>
      <c r="E296" t="s">
        <v>1174</v>
      </c>
      <c r="F296" t="s">
        <v>1309</v>
      </c>
      <c r="G296" s="7">
        <v>500</v>
      </c>
      <c r="H296" t="str">
        <f t="shared" si="24"/>
        <v>Z</v>
      </c>
      <c r="I296" s="1">
        <v>1566559</v>
      </c>
      <c r="J296" s="1">
        <v>6875</v>
      </c>
      <c r="K296" s="1">
        <v>207</v>
      </c>
      <c r="L296" s="1">
        <v>203</v>
      </c>
      <c r="M296" s="1">
        <v>808</v>
      </c>
      <c r="N296" s="1">
        <v>24610</v>
      </c>
      <c r="O296" s="2">
        <f t="shared" si="20"/>
        <v>1.570959025481964E-2</v>
      </c>
      <c r="P296">
        <f t="shared" si="21"/>
        <v>0</v>
      </c>
      <c r="Q296" s="1">
        <v>188</v>
      </c>
      <c r="R296" s="1">
        <v>27765</v>
      </c>
      <c r="S296" s="1">
        <v>462026</v>
      </c>
      <c r="T296" s="1">
        <v>2481</v>
      </c>
      <c r="U296" s="1">
        <v>459545</v>
      </c>
      <c r="V296" s="1">
        <v>91488</v>
      </c>
      <c r="W296" s="1">
        <v>370538</v>
      </c>
      <c r="X296" s="1">
        <v>2163251</v>
      </c>
      <c r="Y296" s="1">
        <v>22194</v>
      </c>
      <c r="Z296" s="1">
        <v>6756</v>
      </c>
      <c r="AA296" s="1">
        <v>2624</v>
      </c>
      <c r="AB296" s="1">
        <v>627</v>
      </c>
      <c r="AC296" s="1">
        <v>38234</v>
      </c>
      <c r="AD296" s="2">
        <f t="shared" si="22"/>
        <v>1.7674324431145531E-2</v>
      </c>
      <c r="AE296">
        <f t="shared" si="23"/>
        <v>0</v>
      </c>
      <c r="AF296" s="1">
        <v>221</v>
      </c>
      <c r="AG296" s="1">
        <v>45680</v>
      </c>
      <c r="AH296" s="1">
        <v>746101</v>
      </c>
      <c r="AI296" s="1">
        <v>5308</v>
      </c>
      <c r="AJ296" s="1">
        <v>740793</v>
      </c>
      <c r="AK296" s="1">
        <v>119718</v>
      </c>
      <c r="AL296" s="1">
        <v>626383</v>
      </c>
    </row>
    <row r="297" spans="1:38" x14ac:dyDescent="0.2">
      <c r="A297">
        <v>330</v>
      </c>
      <c r="B297" t="s">
        <v>277</v>
      </c>
      <c r="C297" t="s">
        <v>733</v>
      </c>
      <c r="D297" t="s">
        <v>1063</v>
      </c>
      <c r="E297" t="s">
        <v>1237</v>
      </c>
      <c r="F297" t="s">
        <v>1308</v>
      </c>
      <c r="G297" s="7">
        <v>400</v>
      </c>
      <c r="H297" t="str">
        <f t="shared" si="24"/>
        <v>K</v>
      </c>
      <c r="I297" s="1">
        <v>1563910.7923900001</v>
      </c>
      <c r="J297" s="1">
        <v>32042.0841</v>
      </c>
      <c r="K297" s="1">
        <v>25263.93405</v>
      </c>
      <c r="L297" s="1">
        <v>20250.782050000002</v>
      </c>
      <c r="M297" s="1">
        <v>49840.583720000002</v>
      </c>
      <c r="N297" s="1">
        <v>549871.66569000005</v>
      </c>
      <c r="O297" s="2">
        <f t="shared" si="20"/>
        <v>0.35160040353048211</v>
      </c>
      <c r="P297">
        <f t="shared" si="21"/>
        <v>0</v>
      </c>
      <c r="Q297" s="1">
        <v>1409.6</v>
      </c>
      <c r="R297" s="1">
        <v>88612.385779999997</v>
      </c>
      <c r="S297" s="1">
        <v>1008089.06893</v>
      </c>
      <c r="T297" s="1">
        <v>358037.69743</v>
      </c>
      <c r="U297" s="1">
        <v>650051.37150000001</v>
      </c>
      <c r="V297" s="1">
        <v>415224.11524999997</v>
      </c>
      <c r="W297" s="1">
        <v>592864.95367999992</v>
      </c>
      <c r="X297" s="1">
        <v>2963413</v>
      </c>
      <c r="Y297" s="1">
        <v>403181</v>
      </c>
      <c r="Z297" s="1">
        <v>460676</v>
      </c>
      <c r="AA297" s="1">
        <v>376986</v>
      </c>
      <c r="AB297" s="1">
        <v>58509</v>
      </c>
      <c r="AC297" s="1">
        <v>1534654</v>
      </c>
      <c r="AD297" s="2">
        <f t="shared" si="22"/>
        <v>0.51786706746579025</v>
      </c>
      <c r="AE297">
        <f t="shared" si="23"/>
        <v>1</v>
      </c>
      <c r="AF297" s="1">
        <v>1566</v>
      </c>
      <c r="AG297" s="1">
        <v>155003</v>
      </c>
      <c r="AH297" s="1">
        <v>1658940</v>
      </c>
      <c r="AI297" s="1">
        <v>574566</v>
      </c>
      <c r="AJ297" s="1">
        <v>1084374</v>
      </c>
      <c r="AK297" s="1">
        <v>1011713</v>
      </c>
      <c r="AL297" s="1">
        <v>647227</v>
      </c>
    </row>
    <row r="298" spans="1:38" x14ac:dyDescent="0.2">
      <c r="A298">
        <v>331</v>
      </c>
      <c r="B298" t="s">
        <v>227</v>
      </c>
      <c r="C298" t="s">
        <v>683</v>
      </c>
      <c r="D298" t="s">
        <v>1034</v>
      </c>
      <c r="E298" t="s">
        <v>1208</v>
      </c>
      <c r="F298" t="s">
        <v>1304</v>
      </c>
      <c r="G298" s="7">
        <v>500</v>
      </c>
      <c r="H298" t="str">
        <f t="shared" si="24"/>
        <v>Z</v>
      </c>
      <c r="I298" s="1">
        <v>1377606.48918</v>
      </c>
      <c r="J298" s="1">
        <v>13423</v>
      </c>
      <c r="K298" s="1">
        <v>15358</v>
      </c>
      <c r="L298" s="1">
        <v>12502</v>
      </c>
      <c r="M298" s="1">
        <v>70</v>
      </c>
      <c r="N298" s="1">
        <v>256885.054</v>
      </c>
      <c r="O298" s="2">
        <f t="shared" si="20"/>
        <v>0.18647201215849893</v>
      </c>
      <c r="P298">
        <f t="shared" si="21"/>
        <v>0</v>
      </c>
      <c r="Q298" s="1">
        <v>13</v>
      </c>
      <c r="R298" s="1">
        <v>3150</v>
      </c>
      <c r="S298" s="1">
        <v>261211.6</v>
      </c>
      <c r="T298" s="1">
        <v>2112</v>
      </c>
      <c r="U298" s="1">
        <v>259099.6</v>
      </c>
      <c r="V298" s="1">
        <v>82626</v>
      </c>
      <c r="W298" s="1">
        <v>178586.07446999999</v>
      </c>
      <c r="X298" s="1">
        <v>3235417.4134999998</v>
      </c>
      <c r="Y298" s="1">
        <v>49747.147319999996</v>
      </c>
      <c r="Z298" s="1">
        <v>14933.41352</v>
      </c>
      <c r="AA298" s="1">
        <v>12074.476189999999</v>
      </c>
      <c r="AB298" s="1">
        <v>72.609380000000002</v>
      </c>
      <c r="AC298" s="1">
        <v>905979</v>
      </c>
      <c r="AD298" s="2">
        <f t="shared" si="22"/>
        <v>0.280019201299882</v>
      </c>
      <c r="AE298">
        <f t="shared" si="23"/>
        <v>0</v>
      </c>
      <c r="AF298" s="1">
        <v>22</v>
      </c>
      <c r="AG298" s="1">
        <v>9175.9015799999997</v>
      </c>
      <c r="AH298" s="1">
        <v>313211.60340000002</v>
      </c>
      <c r="AI298" s="1">
        <v>2520.5078600000002</v>
      </c>
      <c r="AJ298" s="1">
        <v>310691.09554000001</v>
      </c>
      <c r="AK298" s="1">
        <v>251246.1262</v>
      </c>
      <c r="AL298" s="1">
        <v>61965.477200000001</v>
      </c>
    </row>
    <row r="299" spans="1:38" x14ac:dyDescent="0.2">
      <c r="A299">
        <v>332</v>
      </c>
      <c r="B299" t="s">
        <v>474</v>
      </c>
      <c r="C299" t="s">
        <v>930</v>
      </c>
      <c r="D299" t="s">
        <v>1103</v>
      </c>
      <c r="E299" t="s">
        <v>1279</v>
      </c>
      <c r="F299" t="s">
        <v>1306</v>
      </c>
      <c r="G299" s="7">
        <v>500</v>
      </c>
      <c r="H299" t="str">
        <f t="shared" si="24"/>
        <v>Z</v>
      </c>
      <c r="I299" s="1">
        <v>880936.42192999995</v>
      </c>
      <c r="J299" s="1">
        <v>57255.17787</v>
      </c>
      <c r="K299" s="1">
        <v>81824.911059999999</v>
      </c>
      <c r="L299" s="1">
        <v>69873.851060000001</v>
      </c>
      <c r="M299" s="1">
        <v>13709.83618</v>
      </c>
      <c r="N299" s="1">
        <v>801000</v>
      </c>
      <c r="O299" s="2">
        <f t="shared" si="20"/>
        <v>0.90925971507129744</v>
      </c>
      <c r="P299">
        <f t="shared" si="21"/>
        <v>1</v>
      </c>
      <c r="Q299" s="1">
        <v>716</v>
      </c>
      <c r="R299" s="1">
        <v>76964.024940000003</v>
      </c>
      <c r="S299" s="1">
        <v>676203.95799000002</v>
      </c>
      <c r="T299" s="1">
        <v>300115.07867000002</v>
      </c>
      <c r="U299" s="1">
        <v>376088.87932000001</v>
      </c>
      <c r="V299" s="1">
        <v>344334.27665000001</v>
      </c>
      <c r="W299" s="1">
        <v>331869.68134000001</v>
      </c>
      <c r="X299" s="1">
        <v>924542.33360999997</v>
      </c>
      <c r="Y299" s="1">
        <v>22280.625120000001</v>
      </c>
      <c r="Z299" s="1">
        <v>103919.01144</v>
      </c>
      <c r="AA299" s="1">
        <v>101687.60344000001</v>
      </c>
      <c r="AB299" s="1">
        <v>17109.140909999998</v>
      </c>
      <c r="AC299" s="1">
        <v>569306</v>
      </c>
      <c r="AD299" s="2">
        <f t="shared" si="22"/>
        <v>0.61577061352839091</v>
      </c>
      <c r="AE299">
        <f t="shared" si="23"/>
        <v>1</v>
      </c>
      <c r="AF299" s="1">
        <v>646</v>
      </c>
      <c r="AG299" s="1">
        <v>112658.89687</v>
      </c>
      <c r="AH299" s="1">
        <v>626704.49624000001</v>
      </c>
      <c r="AI299" s="1">
        <v>333563.87715999997</v>
      </c>
      <c r="AJ299" s="1">
        <v>293140.61907999997</v>
      </c>
      <c r="AK299" s="1">
        <v>378673.82644999999</v>
      </c>
      <c r="AL299" s="1">
        <v>248030.66979000001</v>
      </c>
    </row>
    <row r="300" spans="1:38" x14ac:dyDescent="0.2">
      <c r="A300">
        <v>333</v>
      </c>
      <c r="B300" t="s">
        <v>384</v>
      </c>
      <c r="C300" t="s">
        <v>841</v>
      </c>
      <c r="D300" t="s">
        <v>1043</v>
      </c>
      <c r="E300" t="s">
        <v>1217</v>
      </c>
      <c r="F300" t="s">
        <v>1309</v>
      </c>
      <c r="G300" s="7">
        <v>450</v>
      </c>
      <c r="H300" t="str">
        <f t="shared" si="24"/>
        <v>K</v>
      </c>
      <c r="I300" s="1">
        <v>1539308</v>
      </c>
      <c r="J300" s="1">
        <v>333806</v>
      </c>
      <c r="K300" s="1">
        <v>455096</v>
      </c>
      <c r="L300" s="1">
        <v>379471</v>
      </c>
      <c r="M300" s="1">
        <v>55694</v>
      </c>
      <c r="N300" s="1">
        <v>0</v>
      </c>
      <c r="O300" s="2">
        <f t="shared" si="20"/>
        <v>0</v>
      </c>
      <c r="P300">
        <f t="shared" si="21"/>
        <v>0</v>
      </c>
      <c r="Q300" s="1">
        <v>462</v>
      </c>
      <c r="R300" s="1">
        <v>67065</v>
      </c>
      <c r="S300" s="1">
        <v>2518850</v>
      </c>
      <c r="T300" s="1">
        <v>1691458</v>
      </c>
      <c r="U300" s="1">
        <v>827392</v>
      </c>
      <c r="V300" s="1">
        <v>1081688</v>
      </c>
      <c r="W300" s="1">
        <v>1437162</v>
      </c>
      <c r="X300" s="1">
        <v>1712837</v>
      </c>
      <c r="Y300" s="1">
        <v>90382</v>
      </c>
      <c r="Z300" s="1">
        <v>219139</v>
      </c>
      <c r="AA300" s="1">
        <v>205160</v>
      </c>
      <c r="AB300" s="1">
        <v>395321</v>
      </c>
      <c r="AC300" s="1">
        <v>0</v>
      </c>
      <c r="AD300" s="2">
        <f t="shared" si="22"/>
        <v>0</v>
      </c>
      <c r="AE300">
        <f t="shared" si="23"/>
        <v>0</v>
      </c>
      <c r="AF300" s="1">
        <v>549</v>
      </c>
      <c r="AG300" s="1">
        <v>114382</v>
      </c>
      <c r="AH300" s="1">
        <v>3461330</v>
      </c>
      <c r="AI300" s="1">
        <v>2422894</v>
      </c>
      <c r="AJ300" s="1">
        <v>1038436</v>
      </c>
      <c r="AK300" s="1">
        <v>1938115</v>
      </c>
      <c r="AL300" s="1">
        <v>1523215</v>
      </c>
    </row>
    <row r="301" spans="1:38" x14ac:dyDescent="0.2">
      <c r="A301">
        <v>334</v>
      </c>
      <c r="B301" t="s">
        <v>421</v>
      </c>
      <c r="C301" t="s">
        <v>878</v>
      </c>
      <c r="D301" t="s">
        <v>992</v>
      </c>
      <c r="E301" t="s">
        <v>1152</v>
      </c>
      <c r="F301" t="s">
        <v>1307</v>
      </c>
      <c r="G301" s="7">
        <v>500</v>
      </c>
      <c r="H301" t="str">
        <f t="shared" si="24"/>
        <v>Z</v>
      </c>
      <c r="I301" s="1">
        <v>1539050.1880000001</v>
      </c>
      <c r="J301" s="1">
        <v>91793.716</v>
      </c>
      <c r="K301" s="1">
        <v>93070.812999999995</v>
      </c>
      <c r="L301" s="1">
        <v>65123.65</v>
      </c>
      <c r="M301" s="1">
        <v>14251.427</v>
      </c>
      <c r="N301" s="1">
        <v>299433</v>
      </c>
      <c r="O301" s="2">
        <f t="shared" si="20"/>
        <v>0.19455700816950874</v>
      </c>
      <c r="P301">
        <f t="shared" si="21"/>
        <v>0</v>
      </c>
      <c r="Q301" s="1">
        <v>668</v>
      </c>
      <c r="R301" s="1">
        <v>126054.489</v>
      </c>
      <c r="S301" s="1">
        <v>714972.38699999999</v>
      </c>
      <c r="T301" s="1">
        <v>141639.17000000001</v>
      </c>
      <c r="U301" s="1">
        <v>573333.21699999995</v>
      </c>
      <c r="V301" s="1">
        <v>428219.62300000002</v>
      </c>
      <c r="W301" s="1">
        <v>286752.76400000002</v>
      </c>
      <c r="X301" s="1">
        <v>1497226.0930000001</v>
      </c>
      <c r="Y301" s="1">
        <v>43345.264999999999</v>
      </c>
      <c r="Z301" s="1">
        <v>62364.053999999996</v>
      </c>
      <c r="AA301" s="1">
        <v>49476.133000000002</v>
      </c>
      <c r="AB301" s="1">
        <v>1947.9179999999999</v>
      </c>
      <c r="AC301" s="1">
        <v>232922</v>
      </c>
      <c r="AD301" s="2">
        <f t="shared" si="22"/>
        <v>0.15556902266730666</v>
      </c>
      <c r="AE301">
        <f t="shared" si="23"/>
        <v>0</v>
      </c>
      <c r="AF301" s="1">
        <v>332</v>
      </c>
      <c r="AG301" s="1">
        <v>123968.372</v>
      </c>
      <c r="AH301" s="1">
        <v>795717.05099999998</v>
      </c>
      <c r="AI301" s="1">
        <v>43694.612000000001</v>
      </c>
      <c r="AJ301" s="1">
        <v>752022.43900000001</v>
      </c>
      <c r="AK301" s="1">
        <v>480723.64500000002</v>
      </c>
      <c r="AL301" s="1">
        <v>314993.40600000002</v>
      </c>
    </row>
    <row r="302" spans="1:38" x14ac:dyDescent="0.2">
      <c r="A302">
        <v>335</v>
      </c>
      <c r="B302" t="s">
        <v>226</v>
      </c>
      <c r="C302" t="s">
        <v>682</v>
      </c>
      <c r="D302" t="s">
        <v>1011</v>
      </c>
      <c r="E302" t="s">
        <v>1174</v>
      </c>
      <c r="F302" t="s">
        <v>1309</v>
      </c>
      <c r="G302" s="7">
        <v>500</v>
      </c>
      <c r="H302" t="str">
        <f t="shared" si="24"/>
        <v>Z</v>
      </c>
      <c r="I302" s="1">
        <v>1472149</v>
      </c>
      <c r="J302" s="1">
        <v>20989</v>
      </c>
      <c r="K302" s="1">
        <v>12938</v>
      </c>
      <c r="L302" s="1">
        <v>9602</v>
      </c>
      <c r="M302" s="1">
        <v>1790</v>
      </c>
      <c r="N302" s="1">
        <v>207781</v>
      </c>
      <c r="O302" s="2">
        <f t="shared" si="20"/>
        <v>0.14114128393253672</v>
      </c>
      <c r="P302">
        <f t="shared" si="21"/>
        <v>0</v>
      </c>
      <c r="Q302" s="1">
        <v>135</v>
      </c>
      <c r="R302" s="1">
        <v>22898</v>
      </c>
      <c r="S302" s="1">
        <v>580237</v>
      </c>
      <c r="T302" s="1">
        <v>9184</v>
      </c>
      <c r="U302" s="1">
        <v>571053</v>
      </c>
      <c r="V302" s="1">
        <v>68707</v>
      </c>
      <c r="W302" s="1">
        <v>511530</v>
      </c>
      <c r="X302" s="1">
        <v>3236790</v>
      </c>
      <c r="Y302" s="1">
        <v>72955</v>
      </c>
      <c r="Z302" s="1">
        <v>49650</v>
      </c>
      <c r="AA302" s="1">
        <v>39432</v>
      </c>
      <c r="AB302" s="1">
        <v>2497</v>
      </c>
      <c r="AC302" s="1">
        <v>328481</v>
      </c>
      <c r="AD302" s="2">
        <f t="shared" si="22"/>
        <v>0.10148356859728311</v>
      </c>
      <c r="AE302">
        <f t="shared" si="23"/>
        <v>0</v>
      </c>
      <c r="AF302" s="1">
        <v>196</v>
      </c>
      <c r="AG302" s="1">
        <v>47102</v>
      </c>
      <c r="AH302" s="1">
        <v>923604</v>
      </c>
      <c r="AI302" s="1">
        <v>25811</v>
      </c>
      <c r="AJ302" s="1">
        <v>897793</v>
      </c>
      <c r="AK302" s="1">
        <v>222907</v>
      </c>
      <c r="AL302" s="1">
        <v>700697</v>
      </c>
    </row>
    <row r="303" spans="1:38" x14ac:dyDescent="0.2">
      <c r="A303">
        <v>336</v>
      </c>
      <c r="B303" t="s">
        <v>244</v>
      </c>
      <c r="C303" t="s">
        <v>700</v>
      </c>
      <c r="D303" t="s">
        <v>54</v>
      </c>
      <c r="E303" t="s">
        <v>1119</v>
      </c>
      <c r="F303" t="s">
        <v>1300</v>
      </c>
      <c r="G303" s="7">
        <v>400</v>
      </c>
      <c r="H303" t="str">
        <f t="shared" si="24"/>
        <v>K</v>
      </c>
      <c r="I303" s="1">
        <v>1586268</v>
      </c>
      <c r="J303" s="1">
        <v>294246</v>
      </c>
      <c r="K303" s="1">
        <v>250270</v>
      </c>
      <c r="L303" s="1">
        <v>200571</v>
      </c>
      <c r="M303" s="1">
        <v>27539</v>
      </c>
      <c r="N303" s="1">
        <v>0</v>
      </c>
      <c r="O303" s="2">
        <f t="shared" si="20"/>
        <v>0</v>
      </c>
      <c r="P303">
        <f t="shared" si="21"/>
        <v>0</v>
      </c>
      <c r="Q303" s="1">
        <v>280</v>
      </c>
      <c r="R303" s="1">
        <v>34457</v>
      </c>
      <c r="S303" s="1">
        <v>2392197</v>
      </c>
      <c r="T303" s="1">
        <v>1748074</v>
      </c>
      <c r="U303" s="1">
        <v>644123</v>
      </c>
      <c r="V303" s="1">
        <v>1125228</v>
      </c>
      <c r="W303" s="1">
        <v>1266969</v>
      </c>
      <c r="X303" s="1">
        <v>3018397</v>
      </c>
      <c r="Y303" s="1">
        <v>888476</v>
      </c>
      <c r="Z303" s="1">
        <v>898940</v>
      </c>
      <c r="AA303" s="1">
        <v>727138</v>
      </c>
      <c r="AB303" s="1">
        <v>312211</v>
      </c>
      <c r="AC303" s="1">
        <v>0</v>
      </c>
      <c r="AD303" s="2">
        <f t="shared" si="22"/>
        <v>0</v>
      </c>
      <c r="AE303">
        <f t="shared" si="23"/>
        <v>0</v>
      </c>
      <c r="AF303" s="1">
        <v>1314</v>
      </c>
      <c r="AG303" s="1">
        <v>295569</v>
      </c>
      <c r="AH303" s="1">
        <v>6671148</v>
      </c>
      <c r="AI303" s="1">
        <v>4821832</v>
      </c>
      <c r="AJ303" s="1">
        <v>1849316</v>
      </c>
      <c r="AK303" s="1">
        <v>5096708</v>
      </c>
      <c r="AL303" s="1">
        <v>1574440</v>
      </c>
    </row>
    <row r="304" spans="1:38" x14ac:dyDescent="0.2">
      <c r="A304">
        <v>337</v>
      </c>
      <c r="B304" t="s">
        <v>219</v>
      </c>
      <c r="C304" t="s">
        <v>675</v>
      </c>
      <c r="D304" t="s">
        <v>1039</v>
      </c>
      <c r="E304" t="s">
        <v>1121</v>
      </c>
      <c r="F304" t="s">
        <v>1220</v>
      </c>
      <c r="G304" s="7">
        <v>540</v>
      </c>
      <c r="H304" t="str">
        <f t="shared" si="24"/>
        <v>Z</v>
      </c>
      <c r="I304" s="1">
        <v>1527391</v>
      </c>
      <c r="J304" s="1">
        <v>155461</v>
      </c>
      <c r="K304" s="1">
        <v>142972</v>
      </c>
      <c r="L304" s="1">
        <v>107022</v>
      </c>
      <c r="M304" s="1">
        <v>202481</v>
      </c>
      <c r="N304" s="1">
        <v>322812</v>
      </c>
      <c r="O304" s="2">
        <f t="shared" si="20"/>
        <v>0.21134863306121354</v>
      </c>
      <c r="P304">
        <f t="shared" si="21"/>
        <v>0</v>
      </c>
      <c r="Q304" s="1">
        <v>1400</v>
      </c>
      <c r="R304" s="1">
        <v>251476</v>
      </c>
      <c r="S304" s="1">
        <v>2079629</v>
      </c>
      <c r="T304" s="1">
        <v>1804753</v>
      </c>
      <c r="U304" s="1">
        <v>274876</v>
      </c>
      <c r="V304" s="1">
        <v>620260</v>
      </c>
      <c r="W304" s="1">
        <v>1459369</v>
      </c>
      <c r="X304" s="1">
        <v>3397270</v>
      </c>
      <c r="Y304" s="1">
        <v>628269</v>
      </c>
      <c r="Z304" s="1">
        <v>600322</v>
      </c>
      <c r="AA304" s="1">
        <v>454659</v>
      </c>
      <c r="AB304" s="1">
        <v>353001</v>
      </c>
      <c r="AC304" s="1">
        <v>922250</v>
      </c>
      <c r="AD304" s="2">
        <f t="shared" si="22"/>
        <v>0.27146797281346491</v>
      </c>
      <c r="AE304">
        <f t="shared" si="23"/>
        <v>0</v>
      </c>
      <c r="AF304" s="1">
        <v>2437</v>
      </c>
      <c r="AG304" s="1">
        <v>565523</v>
      </c>
      <c r="AH304" s="1">
        <v>3419940</v>
      </c>
      <c r="AI304" s="1">
        <v>2756974</v>
      </c>
      <c r="AJ304" s="1">
        <v>662966</v>
      </c>
      <c r="AK304" s="1">
        <v>1159961</v>
      </c>
      <c r="AL304" s="1">
        <v>2259979</v>
      </c>
    </row>
    <row r="305" spans="1:38" x14ac:dyDescent="0.2">
      <c r="A305">
        <v>338</v>
      </c>
      <c r="B305" t="s">
        <v>296</v>
      </c>
      <c r="C305" t="s">
        <v>752</v>
      </c>
      <c r="D305" t="s">
        <v>1040</v>
      </c>
      <c r="E305" t="s">
        <v>1213</v>
      </c>
      <c r="F305" t="s">
        <v>1308</v>
      </c>
      <c r="G305" s="7">
        <v>500</v>
      </c>
      <c r="H305" t="str">
        <f t="shared" si="24"/>
        <v>Z</v>
      </c>
      <c r="I305" s="1">
        <v>1526707.4954599999</v>
      </c>
      <c r="J305" s="1">
        <v>34269.871270000003</v>
      </c>
      <c r="K305" s="1">
        <v>41237.856650000002</v>
      </c>
      <c r="L305" s="1">
        <v>33125.724649999996</v>
      </c>
      <c r="M305" s="1">
        <v>3406.1330699999999</v>
      </c>
      <c r="N305" s="1">
        <v>159785</v>
      </c>
      <c r="O305" s="2">
        <f t="shared" si="20"/>
        <v>0.10465986475808614</v>
      </c>
      <c r="P305">
        <f t="shared" si="21"/>
        <v>0</v>
      </c>
      <c r="Q305" s="1">
        <v>319</v>
      </c>
      <c r="R305" s="1">
        <v>53495.93174</v>
      </c>
      <c r="S305" s="1">
        <v>400034.70539999998</v>
      </c>
      <c r="T305" s="1">
        <v>36412.897989999998</v>
      </c>
      <c r="U305" s="1">
        <v>363621.80741000001</v>
      </c>
      <c r="V305" s="1">
        <v>184527.22536000001</v>
      </c>
      <c r="W305" s="1">
        <v>215507</v>
      </c>
      <c r="X305" s="1">
        <v>2473018.9230399998</v>
      </c>
      <c r="Y305" s="1">
        <v>61523.729030000002</v>
      </c>
      <c r="Z305" s="1">
        <v>81061.800430000003</v>
      </c>
      <c r="AA305" s="1">
        <v>63791.55399</v>
      </c>
      <c r="AB305" s="1">
        <v>569.05270999999993</v>
      </c>
      <c r="AC305" s="1">
        <v>217883</v>
      </c>
      <c r="AD305" s="2">
        <f t="shared" si="22"/>
        <v>8.810405693627435E-2</v>
      </c>
      <c r="AE305">
        <f t="shared" si="23"/>
        <v>0</v>
      </c>
      <c r="AF305" s="1">
        <v>252</v>
      </c>
      <c r="AG305" s="1">
        <v>61114.463949999998</v>
      </c>
      <c r="AH305" s="1">
        <v>449616.77476</v>
      </c>
      <c r="AI305" s="1">
        <v>38135.378140000001</v>
      </c>
      <c r="AJ305" s="1">
        <v>411481.39662000001</v>
      </c>
      <c r="AK305" s="1">
        <v>102326.54465</v>
      </c>
      <c r="AL305" s="1">
        <v>347290.23011</v>
      </c>
    </row>
    <row r="306" spans="1:38" x14ac:dyDescent="0.2">
      <c r="A306">
        <v>339</v>
      </c>
      <c r="B306" t="s">
        <v>410</v>
      </c>
      <c r="C306" t="s">
        <v>867</v>
      </c>
      <c r="D306" t="s">
        <v>52</v>
      </c>
      <c r="E306" t="s">
        <v>1206</v>
      </c>
      <c r="F306" t="s">
        <v>1306</v>
      </c>
      <c r="G306" s="7">
        <v>500</v>
      </c>
      <c r="H306" t="str">
        <f t="shared" si="24"/>
        <v>Z</v>
      </c>
      <c r="I306" s="1">
        <v>1518619.32488</v>
      </c>
      <c r="J306" s="1">
        <v>205323.41493999999</v>
      </c>
      <c r="K306" s="1">
        <v>278005</v>
      </c>
      <c r="L306" s="1">
        <v>238284.95825</v>
      </c>
      <c r="M306" s="1">
        <v>37381.038810000013</v>
      </c>
      <c r="N306" s="1">
        <v>490444</v>
      </c>
      <c r="O306" s="2">
        <f t="shared" si="20"/>
        <v>0.32295387788427787</v>
      </c>
      <c r="P306">
        <f t="shared" si="21"/>
        <v>0</v>
      </c>
      <c r="Q306" s="1">
        <v>1607</v>
      </c>
      <c r="R306" s="1">
        <v>138476.33979</v>
      </c>
      <c r="S306" s="1">
        <v>1230077</v>
      </c>
      <c r="T306" s="1">
        <v>816664</v>
      </c>
      <c r="U306" s="1">
        <v>413413</v>
      </c>
      <c r="V306" s="1">
        <v>984320.95571000001</v>
      </c>
      <c r="W306" s="1">
        <v>245756</v>
      </c>
      <c r="X306" s="1">
        <v>1556025.4126800001</v>
      </c>
      <c r="Y306" s="1">
        <v>49858.80227</v>
      </c>
      <c r="Z306" s="1">
        <v>61252.943479999987</v>
      </c>
      <c r="AA306" s="1">
        <v>51006.959479999998</v>
      </c>
      <c r="AB306" s="1">
        <v>64606.314250000003</v>
      </c>
      <c r="AC306" s="1">
        <v>448417</v>
      </c>
      <c r="AD306" s="2">
        <f t="shared" si="22"/>
        <v>0.28818102605899915</v>
      </c>
      <c r="AE306">
        <f t="shared" si="23"/>
        <v>0</v>
      </c>
      <c r="AF306" s="1">
        <v>1249</v>
      </c>
      <c r="AG306" s="1">
        <v>165986.73402</v>
      </c>
      <c r="AH306" s="1">
        <v>1431972.1782800001</v>
      </c>
      <c r="AI306" s="1">
        <v>970736.68995999999</v>
      </c>
      <c r="AJ306" s="1">
        <v>461235.48832</v>
      </c>
      <c r="AK306" s="1">
        <v>1046921.42581</v>
      </c>
      <c r="AL306" s="1">
        <v>385050.75247000001</v>
      </c>
    </row>
    <row r="307" spans="1:38" x14ac:dyDescent="0.2">
      <c r="A307">
        <v>340</v>
      </c>
      <c r="B307" t="s">
        <v>305</v>
      </c>
      <c r="C307" t="s">
        <v>761</v>
      </c>
      <c r="D307" t="s">
        <v>1046</v>
      </c>
      <c r="E307" t="s">
        <v>1133</v>
      </c>
      <c r="F307" t="s">
        <v>1301</v>
      </c>
      <c r="G307" s="7">
        <v>500</v>
      </c>
      <c r="H307" t="str">
        <f t="shared" si="24"/>
        <v>Z</v>
      </c>
      <c r="I307" s="1">
        <v>1495924.5930000001</v>
      </c>
      <c r="J307" s="1">
        <v>81116.070000000007</v>
      </c>
      <c r="K307" s="1">
        <v>67875.892999999996</v>
      </c>
      <c r="L307" s="1">
        <v>50106.877</v>
      </c>
      <c r="M307" s="1">
        <v>51846.464</v>
      </c>
      <c r="N307" s="1">
        <v>0</v>
      </c>
      <c r="O307" s="2">
        <f t="shared" si="20"/>
        <v>0</v>
      </c>
      <c r="P307">
        <f t="shared" si="21"/>
        <v>0</v>
      </c>
      <c r="Q307" s="1">
        <v>2076</v>
      </c>
      <c r="R307" s="1">
        <v>110153.334</v>
      </c>
      <c r="S307" s="1">
        <v>752181.12300000002</v>
      </c>
      <c r="T307" s="1">
        <v>505953.09600000002</v>
      </c>
      <c r="U307" s="1">
        <v>246228.027</v>
      </c>
      <c r="V307" s="1">
        <v>22520.664000000001</v>
      </c>
      <c r="W307" s="1">
        <v>729660.45900000003</v>
      </c>
      <c r="X307" s="1">
        <v>2401683</v>
      </c>
      <c r="Y307" s="1">
        <v>147077</v>
      </c>
      <c r="Z307" s="1">
        <v>125244</v>
      </c>
      <c r="AA307" s="1">
        <v>98844</v>
      </c>
      <c r="AB307" s="1">
        <v>100974</v>
      </c>
      <c r="AC307" s="1">
        <v>0</v>
      </c>
      <c r="AD307" s="2">
        <f t="shared" si="22"/>
        <v>0</v>
      </c>
      <c r="AE307">
        <f t="shared" si="23"/>
        <v>0</v>
      </c>
      <c r="AF307" s="1">
        <v>2140</v>
      </c>
      <c r="AG307" s="1">
        <v>150629</v>
      </c>
      <c r="AH307" s="1">
        <v>841179</v>
      </c>
      <c r="AI307" s="1">
        <v>486207</v>
      </c>
      <c r="AJ307" s="1">
        <v>354972</v>
      </c>
      <c r="AK307" s="1">
        <v>115482</v>
      </c>
      <c r="AL307" s="1">
        <v>725696</v>
      </c>
    </row>
    <row r="308" spans="1:38" x14ac:dyDescent="0.2">
      <c r="A308">
        <v>341</v>
      </c>
      <c r="B308" t="s">
        <v>321</v>
      </c>
      <c r="C308" t="s">
        <v>778</v>
      </c>
      <c r="D308" t="s">
        <v>978</v>
      </c>
      <c r="E308" t="s">
        <v>1248</v>
      </c>
      <c r="F308" t="s">
        <v>1301</v>
      </c>
      <c r="G308" s="7">
        <v>500</v>
      </c>
      <c r="H308" t="str">
        <f t="shared" si="24"/>
        <v>Z</v>
      </c>
      <c r="I308" s="1">
        <v>1504957</v>
      </c>
      <c r="J308" s="1">
        <v>94751</v>
      </c>
      <c r="K308" s="1">
        <v>37223</v>
      </c>
      <c r="L308" s="1">
        <v>22912</v>
      </c>
      <c r="M308" s="1">
        <v>157860</v>
      </c>
      <c r="N308" s="1">
        <v>184886</v>
      </c>
      <c r="O308" s="2">
        <f t="shared" si="20"/>
        <v>0.12285135057014918</v>
      </c>
      <c r="P308">
        <f t="shared" si="21"/>
        <v>0</v>
      </c>
      <c r="Q308" s="1">
        <v>2850</v>
      </c>
      <c r="R308" s="1">
        <v>193011</v>
      </c>
      <c r="S308" s="1">
        <v>2046865</v>
      </c>
      <c r="T308" s="1">
        <v>1501316</v>
      </c>
      <c r="U308" s="1">
        <v>545549</v>
      </c>
      <c r="V308" s="1">
        <v>472536</v>
      </c>
      <c r="W308" s="1">
        <v>1574329</v>
      </c>
      <c r="X308" s="1">
        <v>2248571</v>
      </c>
      <c r="Y308" s="1">
        <v>118855</v>
      </c>
      <c r="Z308" s="1">
        <v>41674</v>
      </c>
      <c r="AA308" s="1">
        <v>30620</v>
      </c>
      <c r="AB308" s="1">
        <v>172777</v>
      </c>
      <c r="AC308" s="1">
        <v>0</v>
      </c>
      <c r="AD308" s="2">
        <f t="shared" si="22"/>
        <v>0</v>
      </c>
      <c r="AE308">
        <f t="shared" si="23"/>
        <v>0</v>
      </c>
      <c r="AF308" s="1">
        <v>3680</v>
      </c>
      <c r="AG308" s="1">
        <v>310365</v>
      </c>
      <c r="AH308" s="1">
        <v>2142563</v>
      </c>
      <c r="AI308" s="1">
        <v>1408815</v>
      </c>
      <c r="AJ308" s="1">
        <v>733748</v>
      </c>
      <c r="AK308" s="1">
        <v>459016</v>
      </c>
      <c r="AL308" s="1">
        <v>1683547</v>
      </c>
    </row>
    <row r="309" spans="1:38" x14ac:dyDescent="0.2">
      <c r="A309">
        <v>342</v>
      </c>
      <c r="B309" t="s">
        <v>301</v>
      </c>
      <c r="C309" t="s">
        <v>757</v>
      </c>
      <c r="D309" t="s">
        <v>1031</v>
      </c>
      <c r="E309" t="s">
        <v>1204</v>
      </c>
      <c r="F309" t="s">
        <v>1311</v>
      </c>
      <c r="G309" s="7">
        <v>100</v>
      </c>
      <c r="H309" t="str">
        <f t="shared" si="24"/>
        <v>K</v>
      </c>
      <c r="I309" s="1">
        <v>1497356</v>
      </c>
      <c r="J309" s="1">
        <v>545996</v>
      </c>
      <c r="K309" s="1">
        <v>591395</v>
      </c>
      <c r="L309" s="1">
        <v>461654</v>
      </c>
      <c r="M309" s="1">
        <v>165787</v>
      </c>
      <c r="N309" s="1">
        <v>311070</v>
      </c>
      <c r="O309" s="2">
        <f t="shared" si="20"/>
        <v>0.20774618727944458</v>
      </c>
      <c r="P309">
        <f t="shared" si="21"/>
        <v>0</v>
      </c>
      <c r="Q309" s="1">
        <v>2365</v>
      </c>
      <c r="R309" s="1">
        <v>350996</v>
      </c>
      <c r="S309" s="1">
        <v>6623147</v>
      </c>
      <c r="T309" s="1">
        <v>1341909</v>
      </c>
      <c r="U309" s="1">
        <v>5281238</v>
      </c>
      <c r="V309" s="1">
        <v>4357829</v>
      </c>
      <c r="W309" s="1">
        <v>1629259</v>
      </c>
      <c r="X309" s="1">
        <v>2430332</v>
      </c>
      <c r="Y309" s="1">
        <v>927096</v>
      </c>
      <c r="Z309" s="1">
        <v>940951</v>
      </c>
      <c r="AA309" s="1">
        <v>730423</v>
      </c>
      <c r="AB309" s="1">
        <v>264436</v>
      </c>
      <c r="AC309" s="1">
        <v>427739.9</v>
      </c>
      <c r="AD309" s="2">
        <f t="shared" si="22"/>
        <v>0.17600060403270007</v>
      </c>
      <c r="AE309">
        <f t="shared" si="23"/>
        <v>0</v>
      </c>
      <c r="AF309" s="1">
        <v>2364</v>
      </c>
      <c r="AG309" s="1">
        <v>565255</v>
      </c>
      <c r="AH309" s="1">
        <v>7855947</v>
      </c>
      <c r="AI309" s="1">
        <v>6817572</v>
      </c>
      <c r="AJ309" s="1">
        <v>1038375</v>
      </c>
      <c r="AK309" s="1">
        <v>6244969</v>
      </c>
      <c r="AL309" s="1">
        <v>1490162</v>
      </c>
    </row>
    <row r="310" spans="1:38" x14ac:dyDescent="0.2">
      <c r="A310">
        <v>343</v>
      </c>
      <c r="B310" t="s">
        <v>355</v>
      </c>
      <c r="C310" t="s">
        <v>812</v>
      </c>
      <c r="D310" t="s">
        <v>1048</v>
      </c>
      <c r="E310" t="s">
        <v>1221</v>
      </c>
      <c r="F310" t="s">
        <v>1310</v>
      </c>
      <c r="G310" s="7">
        <v>450</v>
      </c>
      <c r="H310" t="str">
        <f t="shared" si="24"/>
        <v>K</v>
      </c>
      <c r="I310" s="1">
        <v>1491911</v>
      </c>
      <c r="J310" s="1">
        <v>173630</v>
      </c>
      <c r="K310" s="1">
        <v>136315</v>
      </c>
      <c r="L310" s="1">
        <v>93293</v>
      </c>
      <c r="M310" s="1">
        <v>100480</v>
      </c>
      <c r="N310" s="1">
        <v>754218</v>
      </c>
      <c r="O310" s="2">
        <f t="shared" si="20"/>
        <v>0.50553819899444408</v>
      </c>
      <c r="P310">
        <f t="shared" si="21"/>
        <v>1</v>
      </c>
      <c r="Q310" s="1">
        <v>1829</v>
      </c>
      <c r="R310" s="1">
        <v>168607</v>
      </c>
      <c r="S310" s="1">
        <v>1963357</v>
      </c>
      <c r="T310" s="1">
        <v>1582054</v>
      </c>
      <c r="U310" s="1">
        <v>381303</v>
      </c>
      <c r="V310" s="1">
        <v>736744</v>
      </c>
      <c r="W310" s="1">
        <v>1226613</v>
      </c>
      <c r="X310" s="1">
        <v>1947364</v>
      </c>
      <c r="Y310" s="1">
        <v>194408</v>
      </c>
      <c r="Z310" s="1">
        <v>160400</v>
      </c>
      <c r="AA310" s="1">
        <v>143069</v>
      </c>
      <c r="AB310" s="1">
        <v>178918</v>
      </c>
      <c r="AC310" s="1">
        <v>950242</v>
      </c>
      <c r="AD310" s="2">
        <f t="shared" si="22"/>
        <v>0.48796321591649017</v>
      </c>
      <c r="AE310">
        <f t="shared" si="23"/>
        <v>0</v>
      </c>
      <c r="AF310" s="1">
        <v>1447</v>
      </c>
      <c r="AG310" s="1">
        <v>254884</v>
      </c>
      <c r="AH310" s="1">
        <v>2514398</v>
      </c>
      <c r="AI310" s="1">
        <v>1727980</v>
      </c>
      <c r="AJ310" s="1">
        <v>786418</v>
      </c>
      <c r="AK310" s="1">
        <v>1393860</v>
      </c>
      <c r="AL310" s="1">
        <v>1120538</v>
      </c>
    </row>
    <row r="311" spans="1:38" x14ac:dyDescent="0.2">
      <c r="A311">
        <v>344</v>
      </c>
      <c r="B311" t="s">
        <v>189</v>
      </c>
      <c r="C311" t="s">
        <v>645</v>
      </c>
      <c r="D311" t="s">
        <v>966</v>
      </c>
      <c r="E311" t="s">
        <v>1123</v>
      </c>
      <c r="F311" t="s">
        <v>1301</v>
      </c>
      <c r="G311" s="7">
        <v>500</v>
      </c>
      <c r="H311" t="str">
        <f t="shared" si="24"/>
        <v>Z</v>
      </c>
      <c r="I311" s="1">
        <v>1494497</v>
      </c>
      <c r="J311" s="1">
        <v>-132245</v>
      </c>
      <c r="K311" s="1">
        <v>-133139</v>
      </c>
      <c r="L311" s="1">
        <v>-132631</v>
      </c>
      <c r="M311" s="1">
        <v>56953</v>
      </c>
      <c r="N311" s="1">
        <v>0</v>
      </c>
      <c r="O311" s="2">
        <f t="shared" si="20"/>
        <v>0</v>
      </c>
      <c r="P311">
        <f t="shared" si="21"/>
        <v>0</v>
      </c>
      <c r="Q311" s="1">
        <v>2233</v>
      </c>
      <c r="R311" s="1">
        <v>142886</v>
      </c>
      <c r="S311" s="1">
        <v>1740678</v>
      </c>
      <c r="T311" s="1">
        <v>1311009</v>
      </c>
      <c r="U311" s="1">
        <v>429669</v>
      </c>
      <c r="V311" s="1">
        <v>1181806</v>
      </c>
      <c r="W311" s="1">
        <v>558872.38360000006</v>
      </c>
      <c r="X311" s="1">
        <v>4109484.3961700001</v>
      </c>
      <c r="Y311" s="1">
        <v>-531487.76205999998</v>
      </c>
      <c r="Z311" s="1">
        <v>-517359.61057999998</v>
      </c>
      <c r="AA311" s="1">
        <v>-518013.17765000003</v>
      </c>
      <c r="AB311" s="1">
        <v>119667.66116</v>
      </c>
      <c r="AC311" s="1">
        <v>0</v>
      </c>
      <c r="AD311" s="2">
        <f t="shared" si="22"/>
        <v>0</v>
      </c>
      <c r="AE311">
        <f t="shared" si="23"/>
        <v>0</v>
      </c>
      <c r="AF311" s="1">
        <v>4497</v>
      </c>
      <c r="AG311" s="1">
        <v>399556.15638</v>
      </c>
      <c r="AH311" s="1">
        <v>4279019.20462</v>
      </c>
      <c r="AI311" s="1">
        <v>3134785.4364</v>
      </c>
      <c r="AJ311" s="1">
        <v>1144233.76822</v>
      </c>
      <c r="AK311" s="1">
        <v>2880110.2105700001</v>
      </c>
      <c r="AL311" s="1">
        <v>1398908.9940500001</v>
      </c>
    </row>
    <row r="312" spans="1:38" x14ac:dyDescent="0.2">
      <c r="A312">
        <v>345</v>
      </c>
      <c r="B312" t="s">
        <v>382</v>
      </c>
      <c r="C312" t="s">
        <v>839</v>
      </c>
      <c r="D312" t="s">
        <v>37</v>
      </c>
      <c r="E312" t="s">
        <v>1264</v>
      </c>
      <c r="F312" t="s">
        <v>1308</v>
      </c>
      <c r="G312" s="7">
        <v>400</v>
      </c>
      <c r="H312" t="str">
        <f t="shared" si="24"/>
        <v>K</v>
      </c>
      <c r="I312" s="1">
        <v>1486375</v>
      </c>
      <c r="J312" s="1">
        <v>82475</v>
      </c>
      <c r="K312" s="1">
        <v>62253</v>
      </c>
      <c r="L312" s="1">
        <v>49626</v>
      </c>
      <c r="M312" s="1">
        <v>42125</v>
      </c>
      <c r="N312" s="1">
        <v>1159945</v>
      </c>
      <c r="O312" s="2">
        <f t="shared" si="20"/>
        <v>0.78038516525103019</v>
      </c>
      <c r="P312">
        <f t="shared" si="21"/>
        <v>1</v>
      </c>
      <c r="Q312" s="1">
        <v>845</v>
      </c>
      <c r="R312" s="1">
        <v>78927.820429999992</v>
      </c>
      <c r="S312" s="1">
        <v>605752</v>
      </c>
      <c r="T312" s="1">
        <v>340586</v>
      </c>
      <c r="U312" s="1">
        <v>265166</v>
      </c>
      <c r="V312" s="1">
        <v>153363</v>
      </c>
      <c r="W312" s="1">
        <v>452388.88523000001</v>
      </c>
      <c r="X312" s="1">
        <v>1718125.4238499999</v>
      </c>
      <c r="Y312" s="1">
        <v>86757.083150000006</v>
      </c>
      <c r="Z312" s="1">
        <v>78281.406840000011</v>
      </c>
      <c r="AA312" s="1">
        <v>64203.700770000003</v>
      </c>
      <c r="AB312" s="1">
        <v>45761.227740000002</v>
      </c>
      <c r="AC312" s="1">
        <v>1361871</v>
      </c>
      <c r="AD312" s="2">
        <f t="shared" si="22"/>
        <v>0.79264934974787815</v>
      </c>
      <c r="AE312">
        <f t="shared" si="23"/>
        <v>1</v>
      </c>
      <c r="AF312" s="1">
        <v>808</v>
      </c>
      <c r="AG312" s="1">
        <v>109436.12827</v>
      </c>
      <c r="AH312" s="1">
        <v>966712.22351000016</v>
      </c>
      <c r="AI312" s="1">
        <v>582856.76947000006</v>
      </c>
      <c r="AJ312" s="1">
        <v>383855.45403999998</v>
      </c>
      <c r="AK312" s="1">
        <v>123447.35278</v>
      </c>
      <c r="AL312" s="1">
        <v>843264.87072999997</v>
      </c>
    </row>
    <row r="313" spans="1:38" x14ac:dyDescent="0.2">
      <c r="A313">
        <v>346</v>
      </c>
      <c r="B313" t="s">
        <v>188</v>
      </c>
      <c r="C313" t="s">
        <v>644</v>
      </c>
      <c r="D313" t="s">
        <v>977</v>
      </c>
      <c r="E313" t="s">
        <v>1134</v>
      </c>
      <c r="F313" t="s">
        <v>1305</v>
      </c>
      <c r="G313" s="7">
        <v>400</v>
      </c>
      <c r="H313" t="str">
        <f t="shared" si="24"/>
        <v>K</v>
      </c>
      <c r="I313" s="1">
        <v>1479373</v>
      </c>
      <c r="J313" s="1">
        <v>83775</v>
      </c>
      <c r="K313" s="1">
        <v>74236</v>
      </c>
      <c r="L313" s="1">
        <v>58714</v>
      </c>
      <c r="M313" s="1">
        <v>20084</v>
      </c>
      <c r="N313" s="1">
        <v>569308</v>
      </c>
      <c r="O313" s="2">
        <f t="shared" si="20"/>
        <v>0.38483060053144136</v>
      </c>
      <c r="P313">
        <f t="shared" si="21"/>
        <v>0</v>
      </c>
      <c r="Q313" s="1">
        <v>1644</v>
      </c>
      <c r="R313" s="1">
        <v>102959</v>
      </c>
      <c r="S313" s="1">
        <v>731526</v>
      </c>
      <c r="T313" s="1">
        <v>135893</v>
      </c>
      <c r="U313" s="1">
        <v>595633</v>
      </c>
      <c r="V313" s="1">
        <v>372197</v>
      </c>
      <c r="W313" s="1">
        <v>359329</v>
      </c>
      <c r="X313" s="1">
        <v>4112497</v>
      </c>
      <c r="Y313" s="1">
        <v>289272</v>
      </c>
      <c r="Z313" s="1">
        <v>258630</v>
      </c>
      <c r="AA313" s="1">
        <v>207976</v>
      </c>
      <c r="AB313" s="1">
        <v>54284</v>
      </c>
      <c r="AC313" s="1">
        <v>2043243</v>
      </c>
      <c r="AD313" s="2">
        <f t="shared" si="22"/>
        <v>0.4968375660821151</v>
      </c>
      <c r="AE313">
        <f t="shared" si="23"/>
        <v>0</v>
      </c>
      <c r="AF313" s="1">
        <v>2803</v>
      </c>
      <c r="AG313" s="1">
        <v>269139</v>
      </c>
      <c r="AH313" s="1">
        <v>2025927</v>
      </c>
      <c r="AI313" s="1">
        <v>422481</v>
      </c>
      <c r="AJ313" s="1">
        <v>1603446</v>
      </c>
      <c r="AK313" s="1">
        <v>1234293</v>
      </c>
      <c r="AL313" s="1">
        <v>791634</v>
      </c>
    </row>
    <row r="314" spans="1:38" x14ac:dyDescent="0.2">
      <c r="A314">
        <v>347</v>
      </c>
      <c r="B314" t="s">
        <v>368</v>
      </c>
      <c r="C314" t="s">
        <v>825</v>
      </c>
      <c r="D314" t="s">
        <v>1053</v>
      </c>
      <c r="E314" t="s">
        <v>1226</v>
      </c>
      <c r="F314" t="s">
        <v>1305</v>
      </c>
      <c r="G314" s="7">
        <v>500</v>
      </c>
      <c r="H314" t="str">
        <f t="shared" si="24"/>
        <v>Z</v>
      </c>
      <c r="I314" s="1">
        <v>1476030</v>
      </c>
      <c r="J314" s="1">
        <v>99158</v>
      </c>
      <c r="K314" s="1">
        <v>102152</v>
      </c>
      <c r="L314" s="1">
        <v>87045</v>
      </c>
      <c r="M314" s="1">
        <v>85831</v>
      </c>
      <c r="N314" s="1">
        <v>1362321</v>
      </c>
      <c r="O314" s="2">
        <f t="shared" si="20"/>
        <v>0.92296294790756284</v>
      </c>
      <c r="P314">
        <f t="shared" si="21"/>
        <v>1</v>
      </c>
      <c r="Q314" s="1">
        <v>1841</v>
      </c>
      <c r="R314" s="1">
        <v>130825</v>
      </c>
      <c r="S314" s="1">
        <v>799713</v>
      </c>
      <c r="T314" s="1">
        <v>468672</v>
      </c>
      <c r="U314" s="1">
        <v>331041</v>
      </c>
      <c r="V314" s="1">
        <v>117610</v>
      </c>
      <c r="W314" s="1">
        <v>682103</v>
      </c>
      <c r="X314" s="1">
        <v>1807984</v>
      </c>
      <c r="Y314" s="1">
        <v>31217</v>
      </c>
      <c r="Z314" s="1">
        <v>80727</v>
      </c>
      <c r="AA314" s="1">
        <v>53571</v>
      </c>
      <c r="AB314" s="1">
        <v>135450</v>
      </c>
      <c r="AC314" s="1">
        <v>1745623</v>
      </c>
      <c r="AD314" s="2">
        <f t="shared" si="22"/>
        <v>0.96550799122116127</v>
      </c>
      <c r="AE314">
        <f t="shared" si="23"/>
        <v>1</v>
      </c>
      <c r="AF314" s="1">
        <v>1936</v>
      </c>
      <c r="AG314" s="1">
        <v>208255</v>
      </c>
      <c r="AH314" s="1">
        <v>1228115</v>
      </c>
      <c r="AI314" s="1">
        <v>429425</v>
      </c>
      <c r="AJ314" s="1">
        <v>798690</v>
      </c>
      <c r="AK314" s="1">
        <v>105259</v>
      </c>
      <c r="AL314" s="1">
        <v>1122856</v>
      </c>
    </row>
    <row r="315" spans="1:38" x14ac:dyDescent="0.2">
      <c r="A315">
        <v>348</v>
      </c>
      <c r="B315" t="s">
        <v>274</v>
      </c>
      <c r="C315" t="s">
        <v>730</v>
      </c>
      <c r="D315" t="s">
        <v>1015</v>
      </c>
      <c r="E315" t="s">
        <v>1178</v>
      </c>
      <c r="F315" t="s">
        <v>1311</v>
      </c>
      <c r="G315" s="7">
        <v>420</v>
      </c>
      <c r="H315" t="str">
        <f t="shared" si="24"/>
        <v>K</v>
      </c>
      <c r="I315" s="1">
        <v>1459276</v>
      </c>
      <c r="J315" s="1">
        <v>42286</v>
      </c>
      <c r="K315" s="1">
        <v>29377.660620000221</v>
      </c>
      <c r="L315" s="1">
        <v>29378</v>
      </c>
      <c r="M315" s="1">
        <v>91894</v>
      </c>
      <c r="N315" s="1">
        <v>3365</v>
      </c>
      <c r="O315" s="2">
        <f t="shared" si="20"/>
        <v>2.3059380130969055E-3</v>
      </c>
      <c r="P315">
        <f t="shared" si="21"/>
        <v>0</v>
      </c>
      <c r="Q315" s="1">
        <v>6685</v>
      </c>
      <c r="R315" s="1">
        <v>540549</v>
      </c>
      <c r="S315" s="1">
        <v>1373255.6602099999</v>
      </c>
      <c r="T315" s="1">
        <v>992469.48592999997</v>
      </c>
      <c r="U315" s="1">
        <v>380786.17427999998</v>
      </c>
      <c r="V315" s="1">
        <v>496905</v>
      </c>
      <c r="W315" s="1">
        <v>876350</v>
      </c>
      <c r="X315" s="1">
        <v>2689986</v>
      </c>
      <c r="Y315" s="1">
        <v>12782</v>
      </c>
      <c r="Z315" s="1">
        <v>18710</v>
      </c>
      <c r="AA315" s="1">
        <v>2198</v>
      </c>
      <c r="AB315" s="1">
        <v>94163</v>
      </c>
      <c r="AC315" s="1">
        <v>1172</v>
      </c>
      <c r="AD315" s="2">
        <f t="shared" si="22"/>
        <v>4.3568999987360531E-4</v>
      </c>
      <c r="AE315">
        <f t="shared" si="23"/>
        <v>0</v>
      </c>
      <c r="AF315" s="1">
        <v>6939</v>
      </c>
      <c r="AG315" s="1">
        <v>1017707</v>
      </c>
      <c r="AH315" s="1">
        <v>1558516</v>
      </c>
      <c r="AI315" s="1">
        <v>911180</v>
      </c>
      <c r="AJ315" s="1">
        <v>647336</v>
      </c>
      <c r="AK315" s="1">
        <v>573227</v>
      </c>
      <c r="AL315" s="1">
        <v>985289</v>
      </c>
    </row>
    <row r="316" spans="1:38" x14ac:dyDescent="0.2">
      <c r="A316">
        <v>349</v>
      </c>
      <c r="B316" t="s">
        <v>328</v>
      </c>
      <c r="C316" t="s">
        <v>785</v>
      </c>
      <c r="D316" t="s">
        <v>1057</v>
      </c>
      <c r="E316" t="s">
        <v>1230</v>
      </c>
      <c r="F316" t="s">
        <v>1305</v>
      </c>
      <c r="G316" s="7">
        <v>400</v>
      </c>
      <c r="H316" t="str">
        <f t="shared" si="24"/>
        <v>K</v>
      </c>
      <c r="I316" s="1">
        <v>1268926.5022</v>
      </c>
      <c r="J316" s="1">
        <v>-526500.09913999995</v>
      </c>
      <c r="K316" s="1">
        <v>-568662.72977999994</v>
      </c>
      <c r="L316" s="1">
        <v>-555883.7318200001</v>
      </c>
      <c r="M316" s="1">
        <v>19397.423839999999</v>
      </c>
      <c r="N316" s="1">
        <v>507764</v>
      </c>
      <c r="O316" s="2">
        <f t="shared" si="20"/>
        <v>0.40015241160119575</v>
      </c>
      <c r="P316">
        <f t="shared" si="21"/>
        <v>0</v>
      </c>
      <c r="Q316" s="1">
        <v>2854</v>
      </c>
      <c r="R316" s="1">
        <v>249861</v>
      </c>
      <c r="S316" s="1">
        <v>2023000.3204999999</v>
      </c>
      <c r="T316" s="1">
        <v>549214.20469000004</v>
      </c>
      <c r="U316" s="1">
        <v>1473786.1158100001</v>
      </c>
      <c r="V316" s="1">
        <v>-576631.07460000005</v>
      </c>
      <c r="W316" s="1">
        <v>2599631.3950999998</v>
      </c>
      <c r="X316" s="1">
        <v>2224521.4935900001</v>
      </c>
      <c r="Y316" s="1">
        <v>157701.71848000001</v>
      </c>
      <c r="Z316" s="1">
        <v>3268.1929700000001</v>
      </c>
      <c r="AA316" s="1">
        <v>5178.3589800000009</v>
      </c>
      <c r="AB316" s="1">
        <v>54755.224750000001</v>
      </c>
      <c r="AC316" s="1">
        <v>938361</v>
      </c>
      <c r="AD316" s="2">
        <f t="shared" si="22"/>
        <v>0.42182599840186064</v>
      </c>
      <c r="AE316">
        <f t="shared" si="23"/>
        <v>0</v>
      </c>
      <c r="AF316" s="1">
        <v>2103</v>
      </c>
      <c r="AG316" s="1">
        <v>286143.48452</v>
      </c>
      <c r="AH316" s="1">
        <v>3264577.6539099999</v>
      </c>
      <c r="AI316" s="1">
        <v>902715.93492999999</v>
      </c>
      <c r="AJ316" s="1">
        <v>2361861.7189799999</v>
      </c>
      <c r="AK316" s="1">
        <v>671930.25224000006</v>
      </c>
      <c r="AL316" s="1">
        <v>2592647.4016700001</v>
      </c>
    </row>
    <row r="317" spans="1:38" x14ac:dyDescent="0.2">
      <c r="A317">
        <v>350</v>
      </c>
      <c r="B317" t="s">
        <v>457</v>
      </c>
      <c r="C317" t="s">
        <v>914</v>
      </c>
      <c r="D317" t="s">
        <v>1114</v>
      </c>
      <c r="E317" t="s">
        <v>1290</v>
      </c>
      <c r="F317" t="s">
        <v>1220</v>
      </c>
      <c r="G317" s="7">
        <v>540</v>
      </c>
      <c r="H317" t="str">
        <f t="shared" si="24"/>
        <v>Z</v>
      </c>
      <c r="I317" s="1">
        <v>934687</v>
      </c>
      <c r="J317" s="1">
        <v>289324</v>
      </c>
      <c r="K317" s="1">
        <v>411726</v>
      </c>
      <c r="L317" s="1">
        <v>359255</v>
      </c>
      <c r="M317" s="1">
        <v>138815</v>
      </c>
      <c r="N317" s="1">
        <v>0</v>
      </c>
      <c r="O317" s="2">
        <f t="shared" si="20"/>
        <v>0</v>
      </c>
      <c r="P317">
        <f t="shared" si="21"/>
        <v>0</v>
      </c>
      <c r="Q317" s="1">
        <v>2740</v>
      </c>
      <c r="R317" s="1">
        <v>244177</v>
      </c>
      <c r="S317" s="1">
        <v>3766057</v>
      </c>
      <c r="T317" s="1">
        <v>2270229</v>
      </c>
      <c r="U317" s="1">
        <v>1495828</v>
      </c>
      <c r="V317" s="1">
        <v>2699444</v>
      </c>
      <c r="W317" s="1">
        <v>1066613</v>
      </c>
      <c r="X317" s="1">
        <v>1171031</v>
      </c>
      <c r="Y317" s="1">
        <v>407629</v>
      </c>
      <c r="Z317" s="1">
        <v>498176</v>
      </c>
      <c r="AA317" s="1">
        <v>398377</v>
      </c>
      <c r="AB317" s="1">
        <v>100192</v>
      </c>
      <c r="AC317" s="1">
        <v>0</v>
      </c>
      <c r="AD317" s="2">
        <f t="shared" si="22"/>
        <v>0</v>
      </c>
      <c r="AE317">
        <f t="shared" si="23"/>
        <v>0</v>
      </c>
      <c r="AF317" s="1">
        <v>2000</v>
      </c>
      <c r="AG317" s="1">
        <v>300838</v>
      </c>
      <c r="AH317" s="1">
        <v>3702935</v>
      </c>
      <c r="AI317" s="1">
        <v>3045369</v>
      </c>
      <c r="AJ317" s="1">
        <v>657566</v>
      </c>
      <c r="AK317" s="1">
        <v>3061243</v>
      </c>
      <c r="AL317" s="1">
        <v>641692</v>
      </c>
    </row>
    <row r="318" spans="1:38" x14ac:dyDescent="0.2">
      <c r="A318">
        <v>351</v>
      </c>
      <c r="B318" t="s">
        <v>265</v>
      </c>
      <c r="C318" t="s">
        <v>721</v>
      </c>
      <c r="D318" t="s">
        <v>968</v>
      </c>
      <c r="E318" t="s">
        <v>1125</v>
      </c>
      <c r="F318" t="s">
        <v>1302</v>
      </c>
      <c r="G318" s="7">
        <v>400</v>
      </c>
      <c r="H318" t="str">
        <f t="shared" si="24"/>
        <v>K</v>
      </c>
      <c r="I318" s="1">
        <v>1454259</v>
      </c>
      <c r="J318" s="1">
        <v>24835</v>
      </c>
      <c r="K318" s="1">
        <v>24150</v>
      </c>
      <c r="L318" s="1">
        <v>19559</v>
      </c>
      <c r="M318" s="1">
        <v>11517</v>
      </c>
      <c r="N318" s="1">
        <v>52938</v>
      </c>
      <c r="O318" s="2">
        <f t="shared" si="20"/>
        <v>3.6402043927525975E-2</v>
      </c>
      <c r="P318">
        <f t="shared" si="21"/>
        <v>0</v>
      </c>
      <c r="Q318" s="1">
        <v>2</v>
      </c>
      <c r="R318" s="1">
        <v>299</v>
      </c>
      <c r="S318" s="1">
        <v>43874</v>
      </c>
      <c r="T318" s="1">
        <v>905</v>
      </c>
      <c r="U318" s="1">
        <v>42969</v>
      </c>
      <c r="V318" s="1">
        <v>29559</v>
      </c>
      <c r="W318" s="1">
        <v>14316.11909</v>
      </c>
      <c r="X318" s="1">
        <v>2812874</v>
      </c>
      <c r="Y318" s="1">
        <v>50171</v>
      </c>
      <c r="Z318" s="1">
        <v>55457</v>
      </c>
      <c r="AA318" s="1">
        <v>44913</v>
      </c>
      <c r="AB318" s="1">
        <v>27</v>
      </c>
      <c r="AC318" s="1">
        <v>7859</v>
      </c>
      <c r="AD318" s="2">
        <f t="shared" si="22"/>
        <v>2.7939395792346191E-3</v>
      </c>
      <c r="AE318">
        <f t="shared" si="23"/>
        <v>0</v>
      </c>
      <c r="AF318" s="1">
        <v>2</v>
      </c>
      <c r="AG318" s="1">
        <v>819.1</v>
      </c>
      <c r="AH318" s="1">
        <v>89450</v>
      </c>
      <c r="AI318" s="1">
        <v>2078</v>
      </c>
      <c r="AJ318" s="1">
        <v>87372</v>
      </c>
      <c r="AK318" s="1">
        <v>64913</v>
      </c>
      <c r="AL318" s="1">
        <v>24537</v>
      </c>
    </row>
    <row r="319" spans="1:38" x14ac:dyDescent="0.2">
      <c r="A319">
        <v>352</v>
      </c>
      <c r="B319" t="s">
        <v>316</v>
      </c>
      <c r="C319" t="s">
        <v>772</v>
      </c>
      <c r="D319" t="s">
        <v>977</v>
      </c>
      <c r="E319" t="s">
        <v>1134</v>
      </c>
      <c r="F319" t="s">
        <v>1305</v>
      </c>
      <c r="G319" s="7">
        <v>400</v>
      </c>
      <c r="H319" t="str">
        <f t="shared" si="24"/>
        <v>K</v>
      </c>
      <c r="I319" s="1">
        <v>1415959.01562</v>
      </c>
      <c r="J319" s="1">
        <v>30088.076840000002</v>
      </c>
      <c r="K319" s="1">
        <v>32204.280170000002</v>
      </c>
      <c r="L319" s="1">
        <v>25327.544170000001</v>
      </c>
      <c r="M319" s="1">
        <v>10761.018690000001</v>
      </c>
      <c r="N319" s="1">
        <v>693736</v>
      </c>
      <c r="O319" s="2">
        <f t="shared" si="20"/>
        <v>0.48994073440482794</v>
      </c>
      <c r="P319">
        <f t="shared" si="21"/>
        <v>0</v>
      </c>
      <c r="Q319" s="1">
        <v>954</v>
      </c>
      <c r="R319" s="1">
        <v>78570</v>
      </c>
      <c r="S319" s="1">
        <v>585754.5968099999</v>
      </c>
      <c r="T319" s="1">
        <v>47150.334710000003</v>
      </c>
      <c r="U319" s="1">
        <v>538604.26210000005</v>
      </c>
      <c r="V319" s="1">
        <v>215957.71489999999</v>
      </c>
      <c r="W319" s="1">
        <v>369796.88191000011</v>
      </c>
      <c r="X319" s="1">
        <v>2300190.8560100002</v>
      </c>
      <c r="Y319" s="1">
        <v>15191.732980000001</v>
      </c>
      <c r="Z319" s="1">
        <v>-6488.9108200000001</v>
      </c>
      <c r="AA319" s="1">
        <v>-4238.6998200000007</v>
      </c>
      <c r="AB319" s="1">
        <v>4782.0509900000006</v>
      </c>
      <c r="AC319" s="1">
        <v>1190656</v>
      </c>
      <c r="AD319" s="2">
        <f t="shared" si="22"/>
        <v>0.51763356805328664</v>
      </c>
      <c r="AE319">
        <f t="shared" si="23"/>
        <v>1</v>
      </c>
      <c r="AF319" s="1">
        <v>1255</v>
      </c>
      <c r="AG319" s="1">
        <v>129801.15341</v>
      </c>
      <c r="AH319" s="1">
        <v>685848.37757999985</v>
      </c>
      <c r="AI319" s="1">
        <v>41821.497410000004</v>
      </c>
      <c r="AJ319" s="1">
        <v>644026.8801699999</v>
      </c>
      <c r="AK319" s="1">
        <v>258238.55322999999</v>
      </c>
      <c r="AL319" s="1">
        <v>427609.82435000001</v>
      </c>
    </row>
    <row r="320" spans="1:38" x14ac:dyDescent="0.2">
      <c r="A320">
        <v>353</v>
      </c>
      <c r="B320" t="s">
        <v>432</v>
      </c>
      <c r="C320" t="s">
        <v>889</v>
      </c>
      <c r="D320" t="s">
        <v>1036</v>
      </c>
      <c r="E320" t="s">
        <v>1210</v>
      </c>
      <c r="F320" t="s">
        <v>1305</v>
      </c>
      <c r="G320" s="7">
        <v>500</v>
      </c>
      <c r="H320" t="str">
        <f t="shared" si="24"/>
        <v>Z</v>
      </c>
      <c r="I320" s="1">
        <v>1453401.40252</v>
      </c>
      <c r="J320" s="1">
        <v>39077.596270000002</v>
      </c>
      <c r="K320" s="1">
        <v>25210.774130000002</v>
      </c>
      <c r="L320" s="1">
        <v>19828.754130000001</v>
      </c>
      <c r="M320" s="1">
        <v>43900.420819999999</v>
      </c>
      <c r="N320" s="1">
        <v>315050</v>
      </c>
      <c r="O320" s="2">
        <f t="shared" si="20"/>
        <v>0.21676737028995996</v>
      </c>
      <c r="P320">
        <f t="shared" si="21"/>
        <v>0</v>
      </c>
      <c r="Q320" s="1">
        <v>1788</v>
      </c>
      <c r="R320" s="1">
        <v>196497.48830999999</v>
      </c>
      <c r="S320" s="1">
        <v>1021723.28763</v>
      </c>
      <c r="T320" s="1">
        <v>373236.71758</v>
      </c>
      <c r="U320" s="1">
        <v>648486.57004999998</v>
      </c>
      <c r="V320" s="1">
        <v>267216.79148999997</v>
      </c>
      <c r="W320" s="1">
        <v>754506.49613999994</v>
      </c>
      <c r="X320" s="1">
        <v>1435006.58201</v>
      </c>
      <c r="Y320" s="1">
        <v>-41419.27233</v>
      </c>
      <c r="Z320" s="1">
        <v>-85644.562669999999</v>
      </c>
      <c r="AA320" s="1">
        <v>-101687.86467</v>
      </c>
      <c r="AB320" s="1">
        <v>53417.667259999987</v>
      </c>
      <c r="AC320" s="1">
        <v>576436</v>
      </c>
      <c r="AD320" s="2">
        <f t="shared" si="22"/>
        <v>0.40169571849112468</v>
      </c>
      <c r="AE320">
        <f t="shared" si="23"/>
        <v>0</v>
      </c>
      <c r="AF320" s="1">
        <v>1484</v>
      </c>
      <c r="AG320" s="1">
        <v>238711.46854</v>
      </c>
      <c r="AH320" s="1">
        <v>1170094.1353</v>
      </c>
      <c r="AI320" s="1">
        <v>519551.00621000002</v>
      </c>
      <c r="AJ320" s="1">
        <v>650543.12909000006</v>
      </c>
      <c r="AK320" s="1">
        <v>157648.39181999999</v>
      </c>
      <c r="AL320" s="1">
        <v>1012445.7434799999</v>
      </c>
    </row>
    <row r="321" spans="1:38" x14ac:dyDescent="0.2">
      <c r="A321">
        <v>354</v>
      </c>
      <c r="B321" t="s">
        <v>345</v>
      </c>
      <c r="C321" t="s">
        <v>802</v>
      </c>
      <c r="D321" t="s">
        <v>1082</v>
      </c>
      <c r="E321" t="s">
        <v>1241</v>
      </c>
      <c r="F321" t="s">
        <v>1294</v>
      </c>
      <c r="G321" s="7">
        <v>520</v>
      </c>
      <c r="H321" t="str">
        <f t="shared" si="24"/>
        <v>Z</v>
      </c>
      <c r="I321" s="1">
        <v>1440774</v>
      </c>
      <c r="J321" s="1">
        <v>-288390</v>
      </c>
      <c r="K321" s="1">
        <v>-313369</v>
      </c>
      <c r="L321" s="1">
        <v>-285048</v>
      </c>
      <c r="M321" s="1">
        <v>38076</v>
      </c>
      <c r="N321" s="1">
        <v>465905</v>
      </c>
      <c r="O321" s="2">
        <f t="shared" si="20"/>
        <v>0.32337132680073349</v>
      </c>
      <c r="P321">
        <f t="shared" si="21"/>
        <v>0</v>
      </c>
      <c r="Q321" s="1">
        <v>2347</v>
      </c>
      <c r="R321" s="1">
        <v>258110</v>
      </c>
      <c r="S321" s="1">
        <v>1484320</v>
      </c>
      <c r="T321" s="1">
        <v>596366</v>
      </c>
      <c r="U321" s="1">
        <v>887954</v>
      </c>
      <c r="V321" s="1">
        <v>425484</v>
      </c>
      <c r="W321" s="1">
        <v>1058836</v>
      </c>
      <c r="X321" s="1">
        <v>2103466</v>
      </c>
      <c r="Y321" s="1">
        <v>62093</v>
      </c>
      <c r="Z321" s="1">
        <v>36295</v>
      </c>
      <c r="AA321" s="1">
        <v>35506</v>
      </c>
      <c r="AB321" s="1">
        <v>35489</v>
      </c>
      <c r="AC321" s="1">
        <v>896238</v>
      </c>
      <c r="AD321" s="2">
        <f t="shared" si="22"/>
        <v>0.42607677043508191</v>
      </c>
      <c r="AE321">
        <f t="shared" si="23"/>
        <v>0</v>
      </c>
      <c r="AF321" s="1">
        <v>2024</v>
      </c>
      <c r="AG321" s="1">
        <v>313094</v>
      </c>
      <c r="AH321" s="1">
        <v>1662764</v>
      </c>
      <c r="AI321" s="1">
        <v>459284</v>
      </c>
      <c r="AJ321" s="1">
        <v>1203480</v>
      </c>
      <c r="AK321" s="1">
        <v>380405</v>
      </c>
      <c r="AL321" s="1">
        <v>1282359</v>
      </c>
    </row>
    <row r="322" spans="1:38" x14ac:dyDescent="0.2">
      <c r="A322">
        <v>355</v>
      </c>
      <c r="B322" t="s">
        <v>488</v>
      </c>
      <c r="C322" t="s">
        <v>944</v>
      </c>
      <c r="D322" t="s">
        <v>1075</v>
      </c>
      <c r="E322" t="s">
        <v>1250</v>
      </c>
      <c r="F322" t="s">
        <v>1220</v>
      </c>
      <c r="G322" s="7">
        <v>400</v>
      </c>
      <c r="H322" t="str">
        <f t="shared" si="24"/>
        <v>K</v>
      </c>
      <c r="I322" s="1">
        <v>1363391</v>
      </c>
      <c r="J322" s="1">
        <v>10854</v>
      </c>
      <c r="K322" s="1">
        <v>8040</v>
      </c>
      <c r="L322" s="1">
        <v>3934</v>
      </c>
      <c r="M322" s="1">
        <v>3198</v>
      </c>
      <c r="N322" s="1">
        <v>17982</v>
      </c>
      <c r="O322" s="2">
        <f t="shared" ref="O322:O385" si="25">IF(I322=0,0,N322/I322)</f>
        <v>1.3189173171892729E-2</v>
      </c>
      <c r="P322">
        <f t="shared" ref="P322:P385" si="26">IF(O322&gt;50%,1,0)</f>
        <v>0</v>
      </c>
      <c r="Q322" s="1">
        <v>250</v>
      </c>
      <c r="R322" s="1">
        <v>19627</v>
      </c>
      <c r="S322" s="1">
        <v>212064</v>
      </c>
      <c r="T322" s="1">
        <v>92599</v>
      </c>
      <c r="U322" s="1">
        <v>119465</v>
      </c>
      <c r="V322" s="1">
        <v>55042</v>
      </c>
      <c r="W322" s="1">
        <v>157022</v>
      </c>
      <c r="X322" s="1">
        <v>559351</v>
      </c>
      <c r="Y322" s="1">
        <v>12351</v>
      </c>
      <c r="Z322" s="1">
        <v>5421</v>
      </c>
      <c r="AA322" s="1">
        <v>5074</v>
      </c>
      <c r="AB322" s="1">
        <v>3567</v>
      </c>
      <c r="AC322" s="1">
        <v>0</v>
      </c>
      <c r="AD322" s="2">
        <f t="shared" ref="AD322:AD385" si="27">IF(X322=0,0,AC322/X322)</f>
        <v>0</v>
      </c>
      <c r="AE322">
        <f t="shared" ref="AE322:AE385" si="28">IF(AD322&gt;50%,1,0)</f>
        <v>0</v>
      </c>
      <c r="AF322" s="1">
        <v>166</v>
      </c>
      <c r="AG322" s="1">
        <v>18462</v>
      </c>
      <c r="AH322" s="1">
        <v>298568</v>
      </c>
      <c r="AI322" s="1">
        <v>124578</v>
      </c>
      <c r="AJ322" s="1">
        <v>173990</v>
      </c>
      <c r="AK322" s="1">
        <v>64823</v>
      </c>
      <c r="AL322" s="1">
        <v>233745</v>
      </c>
    </row>
    <row r="323" spans="1:38" x14ac:dyDescent="0.2">
      <c r="A323">
        <v>356</v>
      </c>
      <c r="B323" t="s">
        <v>356</v>
      </c>
      <c r="C323" t="s">
        <v>813</v>
      </c>
      <c r="D323" t="s">
        <v>981</v>
      </c>
      <c r="E323" t="s">
        <v>1138</v>
      </c>
      <c r="F323" t="s">
        <v>1309</v>
      </c>
      <c r="G323" s="7">
        <v>400</v>
      </c>
      <c r="H323" t="str">
        <f t="shared" ref="H323:H386" si="29">IF(G323&lt;500,"K","Z")</f>
        <v>K</v>
      </c>
      <c r="I323" s="1">
        <v>1437423</v>
      </c>
      <c r="J323" s="1">
        <v>143383</v>
      </c>
      <c r="K323" s="1">
        <v>142369</v>
      </c>
      <c r="L323" s="1">
        <v>104846</v>
      </c>
      <c r="M323" s="1">
        <v>84929</v>
      </c>
      <c r="N323" s="1">
        <v>843402</v>
      </c>
      <c r="O323" s="2">
        <f t="shared" si="25"/>
        <v>0.58674586395236472</v>
      </c>
      <c r="P323">
        <f t="shared" si="26"/>
        <v>1</v>
      </c>
      <c r="Q323" s="1">
        <v>6448</v>
      </c>
      <c r="R323" s="1">
        <v>802351</v>
      </c>
      <c r="S323" s="1">
        <v>1842711</v>
      </c>
      <c r="T323" s="1">
        <v>796738</v>
      </c>
      <c r="U323" s="1">
        <v>1045973</v>
      </c>
      <c r="V323" s="1">
        <v>970756</v>
      </c>
      <c r="W323" s="1">
        <v>871955</v>
      </c>
      <c r="X323" s="1">
        <v>1916425</v>
      </c>
      <c r="Y323" s="1">
        <v>101035</v>
      </c>
      <c r="Z323" s="1">
        <v>119569</v>
      </c>
      <c r="AA323" s="1">
        <v>57483</v>
      </c>
      <c r="AB323" s="1">
        <v>100859</v>
      </c>
      <c r="AC323" s="1">
        <v>772888</v>
      </c>
      <c r="AD323" s="2">
        <f t="shared" si="27"/>
        <v>0.40329676350496368</v>
      </c>
      <c r="AE323">
        <f t="shared" si="28"/>
        <v>0</v>
      </c>
      <c r="AF323" s="1">
        <v>5398</v>
      </c>
      <c r="AG323" s="1">
        <v>987065</v>
      </c>
      <c r="AH323" s="1">
        <v>2239128</v>
      </c>
      <c r="AI323" s="1">
        <v>898741</v>
      </c>
      <c r="AJ323" s="1">
        <v>1340387</v>
      </c>
      <c r="AK323" s="1">
        <v>1320596</v>
      </c>
      <c r="AL323" s="1">
        <v>922447</v>
      </c>
    </row>
    <row r="324" spans="1:38" x14ac:dyDescent="0.2">
      <c r="A324">
        <v>357</v>
      </c>
      <c r="B324" t="s">
        <v>341</v>
      </c>
      <c r="C324" t="s">
        <v>798</v>
      </c>
      <c r="D324" t="s">
        <v>1046</v>
      </c>
      <c r="E324" t="s">
        <v>1133</v>
      </c>
      <c r="F324" t="s">
        <v>1301</v>
      </c>
      <c r="G324" s="7">
        <v>500</v>
      </c>
      <c r="H324" t="str">
        <f t="shared" si="29"/>
        <v>Z</v>
      </c>
      <c r="I324" s="1">
        <v>1431497</v>
      </c>
      <c r="J324" s="1">
        <v>104752</v>
      </c>
      <c r="K324" s="1">
        <v>39533</v>
      </c>
      <c r="L324" s="1">
        <v>29223</v>
      </c>
      <c r="M324" s="1">
        <v>140058</v>
      </c>
      <c r="N324" s="1">
        <v>111425.68631</v>
      </c>
      <c r="O324" s="2">
        <f t="shared" si="25"/>
        <v>7.783857479966777E-2</v>
      </c>
      <c r="P324">
        <f t="shared" si="26"/>
        <v>0</v>
      </c>
      <c r="Q324" s="1">
        <v>2140</v>
      </c>
      <c r="R324" s="1">
        <v>146408</v>
      </c>
      <c r="S324" s="1">
        <v>1912217</v>
      </c>
      <c r="T324" s="1">
        <v>1376311</v>
      </c>
      <c r="U324" s="1">
        <v>535906</v>
      </c>
      <c r="V324" s="1">
        <v>204212.18717047491</v>
      </c>
      <c r="W324" s="1">
        <v>1708005</v>
      </c>
      <c r="X324" s="1">
        <v>2118581</v>
      </c>
      <c r="Y324" s="1">
        <v>116804</v>
      </c>
      <c r="Z324" s="1">
        <v>36785</v>
      </c>
      <c r="AA324" s="1">
        <v>30384</v>
      </c>
      <c r="AB324" s="1">
        <v>157258</v>
      </c>
      <c r="AC324" s="1">
        <v>0</v>
      </c>
      <c r="AD324" s="2">
        <f t="shared" si="27"/>
        <v>0</v>
      </c>
      <c r="AE324">
        <f t="shared" si="28"/>
        <v>0</v>
      </c>
      <c r="AF324" s="1">
        <v>2400</v>
      </c>
      <c r="AG324" s="1">
        <v>235576</v>
      </c>
      <c r="AH324" s="1">
        <v>2063041</v>
      </c>
      <c r="AI324" s="1">
        <v>1353873</v>
      </c>
      <c r="AJ324" s="1">
        <v>709168</v>
      </c>
      <c r="AK324" s="1">
        <v>234106</v>
      </c>
      <c r="AL324" s="1">
        <v>1828935</v>
      </c>
    </row>
    <row r="325" spans="1:38" x14ac:dyDescent="0.2">
      <c r="A325">
        <v>358</v>
      </c>
      <c r="B325" t="s">
        <v>385</v>
      </c>
      <c r="C325" t="s">
        <v>842</v>
      </c>
      <c r="D325" t="s">
        <v>1010</v>
      </c>
      <c r="E325" t="s">
        <v>1172</v>
      </c>
      <c r="F325" t="s">
        <v>1306</v>
      </c>
      <c r="G325" s="7">
        <v>400</v>
      </c>
      <c r="H325" t="str">
        <f t="shared" si="29"/>
        <v>K</v>
      </c>
      <c r="I325" s="1">
        <v>1429256</v>
      </c>
      <c r="J325" s="1">
        <v>28375</v>
      </c>
      <c r="K325" s="1">
        <v>26718</v>
      </c>
      <c r="L325" s="1">
        <v>21853</v>
      </c>
      <c r="M325" s="1">
        <v>12678</v>
      </c>
      <c r="N325" s="1">
        <v>122253</v>
      </c>
      <c r="O325" s="2">
        <f t="shared" si="25"/>
        <v>8.5536111095563E-2</v>
      </c>
      <c r="P325">
        <f t="shared" si="26"/>
        <v>0</v>
      </c>
      <c r="Q325" s="1">
        <v>260</v>
      </c>
      <c r="R325" s="1">
        <v>53298</v>
      </c>
      <c r="S325" s="1">
        <v>942728</v>
      </c>
      <c r="T325" s="1">
        <v>290189</v>
      </c>
      <c r="U325" s="1">
        <v>652539</v>
      </c>
      <c r="V325" s="1">
        <v>378948</v>
      </c>
      <c r="W325" s="1">
        <v>563780</v>
      </c>
      <c r="X325" s="1">
        <v>1704031</v>
      </c>
      <c r="Y325" s="1">
        <v>27868</v>
      </c>
      <c r="Z325" s="1">
        <v>23892</v>
      </c>
      <c r="AA325" s="1">
        <v>18636</v>
      </c>
      <c r="AB325" s="1">
        <v>19085</v>
      </c>
      <c r="AC325" s="1">
        <v>139401</v>
      </c>
      <c r="AD325" s="2">
        <f t="shared" si="27"/>
        <v>8.1806610325751122E-2</v>
      </c>
      <c r="AE325">
        <f t="shared" si="28"/>
        <v>0</v>
      </c>
      <c r="AF325" s="1">
        <v>558</v>
      </c>
      <c r="AG325" s="1">
        <v>81524</v>
      </c>
      <c r="AH325" s="1">
        <v>1197483</v>
      </c>
      <c r="AI325" s="1">
        <v>358744</v>
      </c>
      <c r="AJ325" s="1">
        <v>838739</v>
      </c>
      <c r="AK325" s="1">
        <v>605605</v>
      </c>
      <c r="AL325" s="1">
        <v>691877</v>
      </c>
    </row>
    <row r="326" spans="1:38" x14ac:dyDescent="0.2">
      <c r="A326">
        <v>359</v>
      </c>
      <c r="B326" t="s">
        <v>185</v>
      </c>
      <c r="C326" t="s">
        <v>641</v>
      </c>
      <c r="D326" t="s">
        <v>1026</v>
      </c>
      <c r="E326" t="s">
        <v>1196</v>
      </c>
      <c r="F326" t="s">
        <v>1301</v>
      </c>
      <c r="G326" s="7">
        <v>400</v>
      </c>
      <c r="H326" t="str">
        <f t="shared" si="29"/>
        <v>K</v>
      </c>
      <c r="I326" s="1">
        <v>1567687</v>
      </c>
      <c r="J326" s="1">
        <v>69052</v>
      </c>
      <c r="K326" s="1">
        <v>61212</v>
      </c>
      <c r="L326" s="1">
        <v>84365</v>
      </c>
      <c r="M326" s="1">
        <v>25533</v>
      </c>
      <c r="N326" s="1">
        <v>953862</v>
      </c>
      <c r="O326" s="2">
        <f t="shared" si="25"/>
        <v>0.60845181467984366</v>
      </c>
      <c r="P326">
        <f t="shared" si="26"/>
        <v>1</v>
      </c>
      <c r="Q326" s="1">
        <v>1130</v>
      </c>
      <c r="R326" s="1">
        <v>79808</v>
      </c>
      <c r="S326" s="1">
        <v>1060254</v>
      </c>
      <c r="T326" s="1">
        <v>365054</v>
      </c>
      <c r="U326" s="1">
        <v>695200</v>
      </c>
      <c r="V326" s="1">
        <v>253635</v>
      </c>
      <c r="W326" s="1">
        <v>806619</v>
      </c>
      <c r="X326" s="1">
        <v>4125777</v>
      </c>
      <c r="Y326" s="1">
        <v>163602</v>
      </c>
      <c r="Z326" s="1">
        <v>292782</v>
      </c>
      <c r="AA326" s="1">
        <v>281425</v>
      </c>
      <c r="AB326" s="1">
        <v>106110</v>
      </c>
      <c r="AC326" s="1">
        <v>2412437</v>
      </c>
      <c r="AD326" s="2">
        <f t="shared" si="27"/>
        <v>0.58472307155718795</v>
      </c>
      <c r="AE326">
        <f t="shared" si="28"/>
        <v>1</v>
      </c>
      <c r="AF326" s="1">
        <v>676</v>
      </c>
      <c r="AG326" s="1">
        <v>173483</v>
      </c>
      <c r="AH326" s="1">
        <v>2397370</v>
      </c>
      <c r="AI326" s="1">
        <v>850698</v>
      </c>
      <c r="AJ326" s="1">
        <v>1546672</v>
      </c>
      <c r="AK326" s="1">
        <v>379795</v>
      </c>
      <c r="AL326" s="1">
        <v>2017575</v>
      </c>
    </row>
    <row r="327" spans="1:38" x14ac:dyDescent="0.2">
      <c r="A327">
        <v>360</v>
      </c>
      <c r="B327" t="s">
        <v>307</v>
      </c>
      <c r="C327" t="s">
        <v>763</v>
      </c>
      <c r="D327" t="s">
        <v>1070</v>
      </c>
      <c r="E327" t="s">
        <v>1244</v>
      </c>
      <c r="F327" t="s">
        <v>1294</v>
      </c>
      <c r="G327" s="7">
        <v>400</v>
      </c>
      <c r="H327" t="str">
        <f t="shared" si="29"/>
        <v>K</v>
      </c>
      <c r="I327" s="1">
        <v>1419508</v>
      </c>
      <c r="J327" s="1">
        <v>197697</v>
      </c>
      <c r="K327" s="1">
        <v>192721</v>
      </c>
      <c r="L327" s="1">
        <v>157865</v>
      </c>
      <c r="M327" s="1">
        <v>26994</v>
      </c>
      <c r="N327" s="1">
        <v>505971</v>
      </c>
      <c r="O327" s="2">
        <f t="shared" si="25"/>
        <v>0.35644110494622078</v>
      </c>
      <c r="P327">
        <f t="shared" si="26"/>
        <v>0</v>
      </c>
      <c r="Q327" s="1">
        <v>1795</v>
      </c>
      <c r="R327" s="1">
        <v>137248</v>
      </c>
      <c r="S327" s="1">
        <v>763909</v>
      </c>
      <c r="T327" s="1">
        <v>365138</v>
      </c>
      <c r="U327" s="1">
        <v>398771</v>
      </c>
      <c r="V327" s="1">
        <v>358522</v>
      </c>
      <c r="W327" s="1">
        <v>405387</v>
      </c>
      <c r="X327" s="1">
        <v>2389948</v>
      </c>
      <c r="Y327" s="1">
        <v>396353</v>
      </c>
      <c r="Z327" s="1">
        <v>388448</v>
      </c>
      <c r="AA327" s="1">
        <v>327878</v>
      </c>
      <c r="AB327" s="1">
        <v>62695</v>
      </c>
      <c r="AC327" s="1">
        <v>854499</v>
      </c>
      <c r="AD327" s="2">
        <f t="shared" si="27"/>
        <v>0.3575387414286838</v>
      </c>
      <c r="AE327">
        <f t="shared" si="28"/>
        <v>0</v>
      </c>
      <c r="AF327" s="1">
        <v>2265</v>
      </c>
      <c r="AG327" s="1">
        <v>276685</v>
      </c>
      <c r="AH327" s="1">
        <v>1308117</v>
      </c>
      <c r="AI327" s="1">
        <v>677005</v>
      </c>
      <c r="AJ327" s="1">
        <v>631112</v>
      </c>
      <c r="AK327" s="1">
        <v>425195</v>
      </c>
      <c r="AL327" s="1">
        <v>882922</v>
      </c>
    </row>
    <row r="328" spans="1:38" x14ac:dyDescent="0.2">
      <c r="A328">
        <v>361</v>
      </c>
      <c r="B328" t="s">
        <v>414</v>
      </c>
      <c r="C328" t="s">
        <v>871</v>
      </c>
      <c r="D328" t="s">
        <v>1036</v>
      </c>
      <c r="E328" t="s">
        <v>1210</v>
      </c>
      <c r="F328" t="s">
        <v>1305</v>
      </c>
      <c r="G328" s="7">
        <v>500</v>
      </c>
      <c r="H328" t="str">
        <f t="shared" si="29"/>
        <v>Z</v>
      </c>
      <c r="I328" s="1">
        <v>1406450</v>
      </c>
      <c r="J328" s="1">
        <v>141547</v>
      </c>
      <c r="K328" s="1">
        <v>151992</v>
      </c>
      <c r="L328" s="1">
        <v>130678</v>
      </c>
      <c r="M328" s="1">
        <v>77934</v>
      </c>
      <c r="N328" s="1">
        <v>867391</v>
      </c>
      <c r="O328" s="2">
        <f t="shared" si="25"/>
        <v>0.61672366596750683</v>
      </c>
      <c r="P328">
        <f t="shared" si="26"/>
        <v>1</v>
      </c>
      <c r="Q328" s="1">
        <v>1880</v>
      </c>
      <c r="R328" s="1">
        <v>177475</v>
      </c>
      <c r="S328" s="1">
        <v>1073411</v>
      </c>
      <c r="T328" s="1">
        <v>708133</v>
      </c>
      <c r="U328" s="1">
        <v>365278</v>
      </c>
      <c r="V328" s="1">
        <v>947994</v>
      </c>
      <c r="W328" s="1">
        <v>125417.33358000001</v>
      </c>
      <c r="X328" s="1">
        <v>1547406</v>
      </c>
      <c r="Y328" s="1">
        <v>-15366</v>
      </c>
      <c r="Z328" s="1">
        <v>-3835</v>
      </c>
      <c r="AA328" s="1">
        <v>4383</v>
      </c>
      <c r="AB328" s="1">
        <v>54411</v>
      </c>
      <c r="AC328" s="1">
        <v>1351805</v>
      </c>
      <c r="AD328" s="2">
        <f t="shared" si="27"/>
        <v>0.8735942603298682</v>
      </c>
      <c r="AE328">
        <f t="shared" si="28"/>
        <v>1</v>
      </c>
      <c r="AF328" s="1">
        <v>1535</v>
      </c>
      <c r="AG328" s="1">
        <v>227690</v>
      </c>
      <c r="AH328" s="1">
        <v>1190473</v>
      </c>
      <c r="AI328" s="1">
        <v>670594</v>
      </c>
      <c r="AJ328" s="1">
        <v>519879</v>
      </c>
      <c r="AK328" s="1">
        <v>875534</v>
      </c>
      <c r="AL328" s="1">
        <v>314939.59999999998</v>
      </c>
    </row>
    <row r="329" spans="1:38" x14ac:dyDescent="0.2">
      <c r="A329">
        <v>362</v>
      </c>
      <c r="B329" t="s">
        <v>362</v>
      </c>
      <c r="C329" t="s">
        <v>819</v>
      </c>
      <c r="D329" t="s">
        <v>972</v>
      </c>
      <c r="E329" t="s">
        <v>1129</v>
      </c>
      <c r="F329" t="s">
        <v>1305</v>
      </c>
      <c r="G329" s="7">
        <v>540</v>
      </c>
      <c r="H329" t="str">
        <f t="shared" si="29"/>
        <v>Z</v>
      </c>
      <c r="I329" s="1">
        <v>1404786</v>
      </c>
      <c r="J329" s="1">
        <v>76276</v>
      </c>
      <c r="K329" s="1">
        <v>69906</v>
      </c>
      <c r="L329" s="1">
        <v>61037</v>
      </c>
      <c r="M329" s="1">
        <v>27955</v>
      </c>
      <c r="N329" s="1">
        <v>1157891</v>
      </c>
      <c r="O329" s="2">
        <f t="shared" si="25"/>
        <v>0.82424725189459458</v>
      </c>
      <c r="P329">
        <f t="shared" si="26"/>
        <v>1</v>
      </c>
      <c r="Q329" s="1">
        <v>651</v>
      </c>
      <c r="R329" s="1">
        <v>67681</v>
      </c>
      <c r="S329" s="1">
        <v>729201</v>
      </c>
      <c r="T329" s="1">
        <v>321568</v>
      </c>
      <c r="U329" s="1">
        <v>407633</v>
      </c>
      <c r="V329" s="1">
        <v>411594</v>
      </c>
      <c r="W329" s="1">
        <v>317607</v>
      </c>
      <c r="X329" s="1">
        <v>1852991</v>
      </c>
      <c r="Y329" s="1">
        <v>18225</v>
      </c>
      <c r="Z329" s="1">
        <v>7692</v>
      </c>
      <c r="AA329" s="1">
        <v>6759</v>
      </c>
      <c r="AB329" s="1">
        <v>40924</v>
      </c>
      <c r="AC329" s="1">
        <v>1563503</v>
      </c>
      <c r="AD329" s="2">
        <f t="shared" si="27"/>
        <v>0.8437725817340721</v>
      </c>
      <c r="AE329">
        <f t="shared" si="28"/>
        <v>1</v>
      </c>
      <c r="AF329" s="1">
        <v>717</v>
      </c>
      <c r="AG329" s="1">
        <v>98211</v>
      </c>
      <c r="AH329" s="1">
        <v>872080</v>
      </c>
      <c r="AI329" s="1">
        <v>217225</v>
      </c>
      <c r="AJ329" s="1">
        <v>654855</v>
      </c>
      <c r="AK329" s="1">
        <v>585635</v>
      </c>
      <c r="AL329" s="1">
        <v>286445</v>
      </c>
    </row>
    <row r="330" spans="1:38" x14ac:dyDescent="0.2">
      <c r="A330">
        <v>363</v>
      </c>
      <c r="B330" t="s">
        <v>343</v>
      </c>
      <c r="C330" t="s">
        <v>800</v>
      </c>
      <c r="D330" t="s">
        <v>1080</v>
      </c>
      <c r="E330" t="s">
        <v>1255</v>
      </c>
      <c r="F330" t="s">
        <v>1305</v>
      </c>
      <c r="G330" s="7">
        <v>500</v>
      </c>
      <c r="H330" t="str">
        <f t="shared" si="29"/>
        <v>Z</v>
      </c>
      <c r="I330" s="1">
        <v>1402998</v>
      </c>
      <c r="J330" s="1">
        <v>119528</v>
      </c>
      <c r="K330" s="1">
        <v>128729</v>
      </c>
      <c r="L330" s="1">
        <v>97643</v>
      </c>
      <c r="M330" s="1">
        <v>87486</v>
      </c>
      <c r="N330" s="1">
        <v>1206515</v>
      </c>
      <c r="O330" s="2">
        <f t="shared" si="25"/>
        <v>0.85995489658573998</v>
      </c>
      <c r="P330">
        <f t="shared" si="26"/>
        <v>1</v>
      </c>
      <c r="Q330" s="1">
        <v>2980</v>
      </c>
      <c r="R330" s="1">
        <v>213375.72299000001</v>
      </c>
      <c r="S330" s="1">
        <v>1105724</v>
      </c>
      <c r="T330" s="1">
        <v>707084</v>
      </c>
      <c r="U330" s="1">
        <v>398640</v>
      </c>
      <c r="V330" s="1">
        <v>766623</v>
      </c>
      <c r="W330" s="1">
        <v>339100.37569000002</v>
      </c>
      <c r="X330" s="1">
        <v>2107003.5242499998</v>
      </c>
      <c r="Y330" s="1">
        <v>-61860.839509999998</v>
      </c>
      <c r="Z330" s="1">
        <v>-70243.490900000004</v>
      </c>
      <c r="AA330" s="1">
        <v>-57860.002899999999</v>
      </c>
      <c r="AB330" s="1">
        <v>140705.58035</v>
      </c>
      <c r="AC330" s="1">
        <v>1596619.7</v>
      </c>
      <c r="AD330" s="2">
        <f t="shared" si="27"/>
        <v>0.75776793043966362</v>
      </c>
      <c r="AE330">
        <f t="shared" si="28"/>
        <v>1</v>
      </c>
      <c r="AF330" s="1">
        <v>2932</v>
      </c>
      <c r="AG330" s="1">
        <v>319788.87849999999</v>
      </c>
      <c r="AH330" s="1">
        <v>1530383.6232</v>
      </c>
      <c r="AI330" s="1">
        <v>954193.98895000003</v>
      </c>
      <c r="AJ330" s="1">
        <v>576189.63425</v>
      </c>
      <c r="AK330" s="1">
        <v>763216.00173999998</v>
      </c>
      <c r="AL330" s="1">
        <v>767167.62146000005</v>
      </c>
    </row>
    <row r="331" spans="1:38" x14ac:dyDescent="0.2">
      <c r="A331">
        <v>364</v>
      </c>
      <c r="B331" t="s">
        <v>454</v>
      </c>
      <c r="C331" t="s">
        <v>911</v>
      </c>
      <c r="D331" t="s">
        <v>1110</v>
      </c>
      <c r="E331" t="s">
        <v>1286</v>
      </c>
      <c r="F331" t="s">
        <v>1307</v>
      </c>
      <c r="G331" s="7">
        <v>500</v>
      </c>
      <c r="H331" t="str">
        <f t="shared" si="29"/>
        <v>Z</v>
      </c>
      <c r="I331" s="1">
        <v>1401383</v>
      </c>
      <c r="J331" s="1">
        <v>22787</v>
      </c>
      <c r="K331" s="1">
        <v>9853</v>
      </c>
      <c r="L331" s="1">
        <v>2576</v>
      </c>
      <c r="M331" s="1">
        <v>22868</v>
      </c>
      <c r="N331" s="1">
        <v>3719</v>
      </c>
      <c r="O331" s="2">
        <f t="shared" si="25"/>
        <v>2.6538069892384879E-3</v>
      </c>
      <c r="P331">
        <f t="shared" si="26"/>
        <v>0</v>
      </c>
      <c r="Q331" s="1">
        <v>1453</v>
      </c>
      <c r="R331" s="1">
        <v>166835</v>
      </c>
      <c r="S331" s="1">
        <v>344438</v>
      </c>
      <c r="T331" s="1">
        <v>100308</v>
      </c>
      <c r="U331" s="1">
        <v>244130</v>
      </c>
      <c r="V331" s="1">
        <v>81581</v>
      </c>
      <c r="W331" s="1">
        <v>241760</v>
      </c>
      <c r="X331" s="1">
        <v>1223838.8</v>
      </c>
      <c r="Y331" s="1">
        <v>-7191</v>
      </c>
      <c r="Z331" s="1">
        <v>-12718</v>
      </c>
      <c r="AA331" s="1">
        <v>-4523</v>
      </c>
      <c r="AB331" s="1">
        <v>15854</v>
      </c>
      <c r="AC331" s="1">
        <v>0</v>
      </c>
      <c r="AD331" s="2">
        <f t="shared" si="27"/>
        <v>0</v>
      </c>
      <c r="AE331">
        <f t="shared" si="28"/>
        <v>0</v>
      </c>
      <c r="AF331" s="1">
        <v>877</v>
      </c>
      <c r="AG331" s="1">
        <v>106822.7</v>
      </c>
      <c r="AH331" s="1">
        <v>511940</v>
      </c>
      <c r="AI331" s="1">
        <v>173488</v>
      </c>
      <c r="AJ331" s="1">
        <v>338452</v>
      </c>
      <c r="AK331" s="1">
        <v>142003</v>
      </c>
      <c r="AL331" s="1">
        <v>369938</v>
      </c>
    </row>
    <row r="332" spans="1:38" x14ac:dyDescent="0.2">
      <c r="A332">
        <v>365</v>
      </c>
      <c r="B332" t="s">
        <v>311</v>
      </c>
      <c r="C332" t="s">
        <v>767</v>
      </c>
      <c r="D332" t="s">
        <v>1071</v>
      </c>
      <c r="E332" t="s">
        <v>1245</v>
      </c>
      <c r="F332" t="s">
        <v>1306</v>
      </c>
      <c r="G332" s="7">
        <v>500</v>
      </c>
      <c r="H332" t="str">
        <f t="shared" si="29"/>
        <v>Z</v>
      </c>
      <c r="I332" s="1">
        <v>1393522</v>
      </c>
      <c r="J332" s="1">
        <v>205839.5</v>
      </c>
      <c r="K332" s="1">
        <v>191065</v>
      </c>
      <c r="L332" s="1">
        <v>147577</v>
      </c>
      <c r="M332" s="1">
        <v>21976</v>
      </c>
      <c r="N332" s="1">
        <v>176609</v>
      </c>
      <c r="O332" s="2">
        <f t="shared" si="25"/>
        <v>0.12673570994932265</v>
      </c>
      <c r="P332">
        <f t="shared" si="26"/>
        <v>0</v>
      </c>
      <c r="Q332" s="1">
        <v>789</v>
      </c>
      <c r="R332" s="1">
        <v>134354.99982999999</v>
      </c>
      <c r="S332" s="1">
        <v>415308</v>
      </c>
      <c r="T332" s="1">
        <v>120706</v>
      </c>
      <c r="U332" s="1">
        <v>294602</v>
      </c>
      <c r="V332" s="1">
        <v>151390</v>
      </c>
      <c r="W332" s="1">
        <v>263917.45929000003</v>
      </c>
      <c r="X332" s="1">
        <v>2340521</v>
      </c>
      <c r="Y332" s="1">
        <v>401662</v>
      </c>
      <c r="Z332" s="1">
        <v>394021</v>
      </c>
      <c r="AA332" s="1">
        <v>316942</v>
      </c>
      <c r="AB332" s="1">
        <v>16114</v>
      </c>
      <c r="AC332" s="1">
        <v>304324</v>
      </c>
      <c r="AD332" s="2">
        <f t="shared" si="27"/>
        <v>0.13002404165568265</v>
      </c>
      <c r="AE332">
        <f t="shared" si="28"/>
        <v>0</v>
      </c>
      <c r="AF332" s="1">
        <v>922</v>
      </c>
      <c r="AG332" s="1">
        <v>235065</v>
      </c>
      <c r="AH332" s="1">
        <v>751768</v>
      </c>
      <c r="AI332" s="1">
        <v>176493</v>
      </c>
      <c r="AJ332" s="1">
        <v>575275</v>
      </c>
      <c r="AK332" s="1">
        <v>317667</v>
      </c>
      <c r="AL332" s="1">
        <v>434101</v>
      </c>
    </row>
    <row r="333" spans="1:38" x14ac:dyDescent="0.2">
      <c r="A333">
        <v>366</v>
      </c>
      <c r="B333" t="s">
        <v>366</v>
      </c>
      <c r="C333" t="s">
        <v>823</v>
      </c>
      <c r="D333" t="s">
        <v>1017</v>
      </c>
      <c r="E333" t="s">
        <v>1181</v>
      </c>
      <c r="F333" t="s">
        <v>1306</v>
      </c>
      <c r="G333" s="7">
        <v>450</v>
      </c>
      <c r="H333" t="str">
        <f t="shared" si="29"/>
        <v>K</v>
      </c>
      <c r="I333" s="1">
        <v>1383808</v>
      </c>
      <c r="J333" s="1">
        <v>63369</v>
      </c>
      <c r="K333" s="1">
        <v>62114</v>
      </c>
      <c r="L333" s="1">
        <v>50450</v>
      </c>
      <c r="M333" s="1">
        <v>32078</v>
      </c>
      <c r="N333" s="1">
        <v>934971</v>
      </c>
      <c r="O333" s="2">
        <f t="shared" si="25"/>
        <v>0.67565081282952544</v>
      </c>
      <c r="P333">
        <f t="shared" si="26"/>
        <v>1</v>
      </c>
      <c r="Q333" s="1">
        <v>658</v>
      </c>
      <c r="R333" s="1">
        <v>53218</v>
      </c>
      <c r="S333" s="1">
        <v>765943</v>
      </c>
      <c r="T333" s="1">
        <v>368210</v>
      </c>
      <c r="U333" s="1">
        <v>397733</v>
      </c>
      <c r="V333" s="1">
        <v>519792</v>
      </c>
      <c r="W333" s="1">
        <v>246150</v>
      </c>
      <c r="X333" s="1">
        <v>1826702</v>
      </c>
      <c r="Y333" s="1">
        <v>19785</v>
      </c>
      <c r="Z333" s="1">
        <v>11703</v>
      </c>
      <c r="AA333" s="1">
        <v>36710</v>
      </c>
      <c r="AB333" s="1">
        <v>41296</v>
      </c>
      <c r="AC333" s="1">
        <v>1243295.5799721719</v>
      </c>
      <c r="AD333" s="2">
        <f t="shared" si="27"/>
        <v>0.68062310107076684</v>
      </c>
      <c r="AE333">
        <f t="shared" si="28"/>
        <v>1</v>
      </c>
      <c r="AF333" s="1">
        <v>603</v>
      </c>
      <c r="AG333" s="1">
        <v>84850</v>
      </c>
      <c r="AH333" s="1">
        <v>1155749</v>
      </c>
      <c r="AI333" s="1">
        <v>526286</v>
      </c>
      <c r="AJ333" s="1">
        <v>629463</v>
      </c>
      <c r="AK333" s="1">
        <v>664396</v>
      </c>
      <c r="AL333" s="1">
        <v>491353</v>
      </c>
    </row>
    <row r="334" spans="1:38" x14ac:dyDescent="0.2">
      <c r="A334">
        <v>367</v>
      </c>
      <c r="B334" t="s">
        <v>406</v>
      </c>
      <c r="C334" t="s">
        <v>863</v>
      </c>
      <c r="D334" t="s">
        <v>1036</v>
      </c>
      <c r="E334" t="s">
        <v>1210</v>
      </c>
      <c r="F334" t="s">
        <v>1305</v>
      </c>
      <c r="G334" s="7">
        <v>500</v>
      </c>
      <c r="H334" t="str">
        <f t="shared" si="29"/>
        <v>Z</v>
      </c>
      <c r="I334" s="1">
        <v>1377624</v>
      </c>
      <c r="J334" s="1">
        <v>201289</v>
      </c>
      <c r="K334" s="1">
        <v>193751</v>
      </c>
      <c r="L334" s="1">
        <v>170429</v>
      </c>
      <c r="M334" s="1">
        <v>31315</v>
      </c>
      <c r="N334" s="1">
        <v>690370</v>
      </c>
      <c r="O334" s="2">
        <f t="shared" si="25"/>
        <v>0.50113093267829245</v>
      </c>
      <c r="P334">
        <f t="shared" si="26"/>
        <v>1</v>
      </c>
      <c r="Q334" s="1">
        <v>820</v>
      </c>
      <c r="R334" s="1">
        <v>76144.915680000006</v>
      </c>
      <c r="S334" s="1">
        <v>1619452</v>
      </c>
      <c r="T334" s="1">
        <v>879655</v>
      </c>
      <c r="U334" s="1">
        <v>739797</v>
      </c>
      <c r="V334" s="1">
        <v>666409</v>
      </c>
      <c r="W334" s="1">
        <v>953042.72877000005</v>
      </c>
      <c r="X334" s="1">
        <v>1579266.8565100001</v>
      </c>
      <c r="Y334" s="1">
        <v>178150.69346000001</v>
      </c>
      <c r="Z334" s="1">
        <v>160034.50576999999</v>
      </c>
      <c r="AA334" s="1">
        <v>182599.61277000001</v>
      </c>
      <c r="AB334" s="1">
        <v>36298.852129999999</v>
      </c>
      <c r="AC334" s="1">
        <v>484164.85651000013</v>
      </c>
      <c r="AD334" s="2">
        <f t="shared" si="27"/>
        <v>0.30657570917428695</v>
      </c>
      <c r="AE334">
        <f t="shared" si="28"/>
        <v>0</v>
      </c>
      <c r="AF334" s="1">
        <v>683</v>
      </c>
      <c r="AG334" s="1">
        <v>87080.554929999998</v>
      </c>
      <c r="AH334" s="1">
        <v>1738783.1767500001</v>
      </c>
      <c r="AI334" s="1">
        <v>791331.0146900001</v>
      </c>
      <c r="AJ334" s="1">
        <v>947452.16206</v>
      </c>
      <c r="AK334" s="1">
        <v>1209822.2379900001</v>
      </c>
      <c r="AL334" s="1">
        <v>528960.93876000005</v>
      </c>
    </row>
    <row r="335" spans="1:38" x14ac:dyDescent="0.2">
      <c r="A335">
        <v>368</v>
      </c>
      <c r="B335" t="s">
        <v>157</v>
      </c>
      <c r="C335" t="s">
        <v>613</v>
      </c>
      <c r="D335" t="s">
        <v>39</v>
      </c>
      <c r="E335" t="s">
        <v>1157</v>
      </c>
      <c r="F335" t="s">
        <v>1308</v>
      </c>
      <c r="G335" s="7">
        <v>400</v>
      </c>
      <c r="H335" t="str">
        <f t="shared" si="29"/>
        <v>K</v>
      </c>
      <c r="I335" s="1">
        <v>2092413</v>
      </c>
      <c r="J335" s="1">
        <v>43149</v>
      </c>
      <c r="K335" s="1">
        <v>35237</v>
      </c>
      <c r="L335" s="1">
        <v>30204</v>
      </c>
      <c r="M335" s="1">
        <v>36835</v>
      </c>
      <c r="N335" s="1">
        <v>410708</v>
      </c>
      <c r="O335" s="2">
        <f t="shared" si="25"/>
        <v>0.19628438553956604</v>
      </c>
      <c r="P335">
        <f t="shared" si="26"/>
        <v>0</v>
      </c>
      <c r="Q335" s="1">
        <v>678</v>
      </c>
      <c r="R335" s="1">
        <v>108621.9</v>
      </c>
      <c r="S335" s="1">
        <v>1237273</v>
      </c>
      <c r="T335" s="1">
        <v>738617</v>
      </c>
      <c r="U335" s="1">
        <v>498656</v>
      </c>
      <c r="V335" s="1">
        <v>477120</v>
      </c>
      <c r="W335" s="1">
        <v>690277</v>
      </c>
      <c r="X335" s="1">
        <v>5146007</v>
      </c>
      <c r="Y335" s="1">
        <v>350657</v>
      </c>
      <c r="Z335" s="1">
        <v>337804</v>
      </c>
      <c r="AA335" s="1">
        <v>311609</v>
      </c>
      <c r="AB335" s="1">
        <v>61535</v>
      </c>
      <c r="AC335" s="1">
        <v>574044</v>
      </c>
      <c r="AD335" s="2">
        <f t="shared" si="27"/>
        <v>0.11155134456676798</v>
      </c>
      <c r="AE335">
        <f t="shared" si="28"/>
        <v>0</v>
      </c>
      <c r="AF335" s="1">
        <v>690</v>
      </c>
      <c r="AG335" s="1">
        <v>235624</v>
      </c>
      <c r="AH335" s="1">
        <v>2709471</v>
      </c>
      <c r="AI335" s="1">
        <v>1252955</v>
      </c>
      <c r="AJ335" s="1">
        <v>1456516</v>
      </c>
      <c r="AK335" s="1">
        <v>1550552</v>
      </c>
      <c r="AL335" s="1">
        <v>892070</v>
      </c>
    </row>
    <row r="336" spans="1:38" x14ac:dyDescent="0.2">
      <c r="A336">
        <v>369</v>
      </c>
      <c r="B336" t="s">
        <v>450</v>
      </c>
      <c r="C336" t="s">
        <v>907</v>
      </c>
      <c r="D336" t="s">
        <v>1025</v>
      </c>
      <c r="E336" t="s">
        <v>1193</v>
      </c>
      <c r="F336" t="s">
        <v>1294</v>
      </c>
      <c r="G336" s="7">
        <v>540</v>
      </c>
      <c r="H336" t="str">
        <f t="shared" si="29"/>
        <v>Z</v>
      </c>
      <c r="I336" s="1">
        <v>1371187</v>
      </c>
      <c r="J336" s="1">
        <v>119595</v>
      </c>
      <c r="K336" s="1">
        <v>53169</v>
      </c>
      <c r="L336" s="1">
        <v>48281</v>
      </c>
      <c r="M336" s="1">
        <v>14593</v>
      </c>
      <c r="N336" s="1">
        <v>0</v>
      </c>
      <c r="O336" s="2">
        <f t="shared" si="25"/>
        <v>0</v>
      </c>
      <c r="P336">
        <f t="shared" si="26"/>
        <v>0</v>
      </c>
      <c r="Q336" s="1"/>
      <c r="R336" s="1">
        <v>31018</v>
      </c>
      <c r="S336" s="1">
        <v>2071336</v>
      </c>
      <c r="T336" s="1">
        <v>1960472</v>
      </c>
      <c r="U336" s="1">
        <v>110864</v>
      </c>
      <c r="V336" s="1">
        <v>1735437</v>
      </c>
      <c r="W336" s="1">
        <v>335899</v>
      </c>
      <c r="X336" s="1">
        <v>1294461</v>
      </c>
      <c r="Y336" s="1">
        <v>45518</v>
      </c>
      <c r="Z336" s="1">
        <v>393</v>
      </c>
      <c r="AA336" s="1">
        <v>-869</v>
      </c>
      <c r="AB336" s="1">
        <v>14419</v>
      </c>
      <c r="AC336" s="1">
        <v>0</v>
      </c>
      <c r="AD336" s="2">
        <f t="shared" si="27"/>
        <v>0</v>
      </c>
      <c r="AE336">
        <f t="shared" si="28"/>
        <v>0</v>
      </c>
      <c r="AF336" s="1"/>
      <c r="AG336" s="1">
        <v>28344</v>
      </c>
      <c r="AH336" s="1">
        <v>1375521</v>
      </c>
      <c r="AI336" s="1">
        <v>1174585</v>
      </c>
      <c r="AJ336" s="1">
        <v>200936</v>
      </c>
      <c r="AK336" s="1">
        <v>638459</v>
      </c>
      <c r="AL336" s="1">
        <v>737062</v>
      </c>
    </row>
    <row r="337" spans="1:38" x14ac:dyDescent="0.2">
      <c r="A337">
        <v>371</v>
      </c>
      <c r="B337" t="s">
        <v>501</v>
      </c>
      <c r="C337" t="s">
        <v>955</v>
      </c>
      <c r="D337" t="s">
        <v>1010</v>
      </c>
      <c r="E337" t="s">
        <v>1172</v>
      </c>
      <c r="F337" t="s">
        <v>1304</v>
      </c>
      <c r="G337" s="7">
        <v>500</v>
      </c>
      <c r="H337" t="str">
        <f t="shared" si="29"/>
        <v>Z</v>
      </c>
      <c r="I337" s="1">
        <v>1363828</v>
      </c>
      <c r="J337" s="1">
        <v>13761</v>
      </c>
      <c r="K337" s="1">
        <v>17020</v>
      </c>
      <c r="L337" s="1">
        <v>13776</v>
      </c>
      <c r="M337" s="1">
        <v>66</v>
      </c>
      <c r="N337" s="1">
        <v>1367157</v>
      </c>
      <c r="O337" s="2">
        <f t="shared" si="25"/>
        <v>1.0024409236355318</v>
      </c>
      <c r="P337">
        <f t="shared" si="26"/>
        <v>1</v>
      </c>
      <c r="Q337" s="1">
        <v>9</v>
      </c>
      <c r="R337" s="1">
        <v>1993.0905399999999</v>
      </c>
      <c r="S337" s="1">
        <v>147838</v>
      </c>
      <c r="T337" s="1">
        <v>659</v>
      </c>
      <c r="U337" s="1">
        <v>147179</v>
      </c>
      <c r="V337" s="1">
        <v>37191</v>
      </c>
      <c r="W337" s="1">
        <v>110646.8612</v>
      </c>
      <c r="X337" s="1">
        <v>14650.02584</v>
      </c>
      <c r="Y337" s="1">
        <v>-19735.320230000001</v>
      </c>
      <c r="Z337" s="1">
        <v>-20440.943879999999</v>
      </c>
      <c r="AA337" s="1">
        <v>-20168.869879999998</v>
      </c>
      <c r="AB337" s="1">
        <v>0</v>
      </c>
      <c r="AC337" s="1">
        <v>13549</v>
      </c>
      <c r="AD337" s="2">
        <f t="shared" si="27"/>
        <v>0.92484478512018786</v>
      </c>
      <c r="AE337">
        <f t="shared" si="28"/>
        <v>1</v>
      </c>
      <c r="AF337" s="1">
        <v>6</v>
      </c>
      <c r="AG337" s="1">
        <v>1875.5963400000001</v>
      </c>
      <c r="AH337" s="1">
        <v>31157</v>
      </c>
      <c r="AI337" s="1">
        <v>0</v>
      </c>
      <c r="AJ337" s="1">
        <v>31157</v>
      </c>
      <c r="AK337" s="1">
        <v>4117.2771600000005</v>
      </c>
      <c r="AL337" s="1">
        <v>27039.914379999998</v>
      </c>
    </row>
    <row r="338" spans="1:38" x14ac:dyDescent="0.2">
      <c r="A338">
        <v>372</v>
      </c>
      <c r="B338" t="s">
        <v>299</v>
      </c>
      <c r="C338" t="s">
        <v>755</v>
      </c>
      <c r="D338" t="s">
        <v>1038</v>
      </c>
      <c r="E338" t="s">
        <v>1212</v>
      </c>
      <c r="F338" t="s">
        <v>1220</v>
      </c>
      <c r="G338" s="7">
        <v>500</v>
      </c>
      <c r="H338" t="str">
        <f t="shared" si="29"/>
        <v>Z</v>
      </c>
      <c r="I338" s="1">
        <v>1363451</v>
      </c>
      <c r="J338" s="1">
        <v>284738</v>
      </c>
      <c r="K338" s="1">
        <v>286556</v>
      </c>
      <c r="L338" s="1">
        <v>231500</v>
      </c>
      <c r="M338" s="1">
        <v>71343</v>
      </c>
      <c r="N338" s="1">
        <v>3821</v>
      </c>
      <c r="O338" s="2">
        <f t="shared" si="25"/>
        <v>2.8024476127121545E-3</v>
      </c>
      <c r="P338">
        <f t="shared" si="26"/>
        <v>0</v>
      </c>
      <c r="Q338" s="1">
        <v>4512</v>
      </c>
      <c r="R338" s="1">
        <v>207042</v>
      </c>
      <c r="S338" s="1">
        <v>1692710</v>
      </c>
      <c r="T338" s="1">
        <v>1361809</v>
      </c>
      <c r="U338" s="1">
        <v>330901</v>
      </c>
      <c r="V338" s="1">
        <v>1251378</v>
      </c>
      <c r="W338" s="1">
        <v>441332</v>
      </c>
      <c r="X338" s="1">
        <v>2456729</v>
      </c>
      <c r="Y338" s="1">
        <v>608560</v>
      </c>
      <c r="Z338" s="1">
        <v>668644</v>
      </c>
      <c r="AA338" s="1">
        <v>540300</v>
      </c>
      <c r="AB338" s="1">
        <v>106506</v>
      </c>
      <c r="AC338" s="1">
        <v>10500</v>
      </c>
      <c r="AD338" s="2">
        <f t="shared" si="27"/>
        <v>4.273975680671332E-3</v>
      </c>
      <c r="AE338">
        <f t="shared" si="28"/>
        <v>0</v>
      </c>
      <c r="AF338" s="1">
        <v>4470</v>
      </c>
      <c r="AG338" s="1">
        <v>308698</v>
      </c>
      <c r="AH338" s="1">
        <v>3122197</v>
      </c>
      <c r="AI338" s="1">
        <v>2664553</v>
      </c>
      <c r="AJ338" s="1">
        <v>457644</v>
      </c>
      <c r="AK338" s="1">
        <v>2674578</v>
      </c>
      <c r="AL338" s="1">
        <v>447619</v>
      </c>
    </row>
    <row r="339" spans="1:38" x14ac:dyDescent="0.2">
      <c r="A339">
        <v>373</v>
      </c>
      <c r="B339" t="s">
        <v>152</v>
      </c>
      <c r="C339" t="s">
        <v>608</v>
      </c>
      <c r="D339" t="s">
        <v>1014</v>
      </c>
      <c r="E339" t="s">
        <v>1177</v>
      </c>
      <c r="F339" t="s">
        <v>1311</v>
      </c>
      <c r="G339" s="7">
        <v>400</v>
      </c>
      <c r="H339" t="str">
        <f t="shared" si="29"/>
        <v>K</v>
      </c>
      <c r="I339" s="1">
        <v>1360441</v>
      </c>
      <c r="J339" s="1">
        <v>4232</v>
      </c>
      <c r="K339" s="1">
        <v>4572</v>
      </c>
      <c r="L339" s="1">
        <v>3855</v>
      </c>
      <c r="M339" s="1">
        <v>80</v>
      </c>
      <c r="N339" s="1">
        <v>3765</v>
      </c>
      <c r="O339" s="2">
        <f t="shared" si="25"/>
        <v>2.7674849552461298E-3</v>
      </c>
      <c r="P339">
        <f t="shared" si="26"/>
        <v>0</v>
      </c>
      <c r="Q339" s="1">
        <v>22</v>
      </c>
      <c r="R339" s="1">
        <v>4925.9992400000001</v>
      </c>
      <c r="S339" s="1">
        <v>115832</v>
      </c>
      <c r="T339" s="1">
        <v>208</v>
      </c>
      <c r="U339" s="1">
        <v>115624</v>
      </c>
      <c r="V339" s="1">
        <v>15995</v>
      </c>
      <c r="W339" s="1">
        <v>99836.517919999998</v>
      </c>
      <c r="X339" s="1">
        <v>5556281.44881</v>
      </c>
      <c r="Y339" s="1">
        <v>43128.360079999999</v>
      </c>
      <c r="Z339" s="1">
        <v>34910.148869999997</v>
      </c>
      <c r="AA339" s="1">
        <v>34767.57187</v>
      </c>
      <c r="AB339" s="1">
        <v>368.16482000000002</v>
      </c>
      <c r="AC339" s="1">
        <v>85853</v>
      </c>
      <c r="AD339" s="2">
        <f t="shared" si="27"/>
        <v>1.54515210921123E-2</v>
      </c>
      <c r="AE339">
        <f t="shared" si="28"/>
        <v>0</v>
      </c>
      <c r="AF339" s="1">
        <v>34</v>
      </c>
      <c r="AG339" s="1">
        <v>14077.424000000001</v>
      </c>
      <c r="AH339" s="1">
        <v>624546.64552999998</v>
      </c>
      <c r="AI339" s="1">
        <v>4565.7656299999999</v>
      </c>
      <c r="AJ339" s="1">
        <v>619980.87989999994</v>
      </c>
      <c r="AK339" s="1">
        <v>123247.79952</v>
      </c>
      <c r="AL339" s="1">
        <v>501298.84600999998</v>
      </c>
    </row>
    <row r="340" spans="1:38" x14ac:dyDescent="0.2">
      <c r="A340">
        <v>374</v>
      </c>
      <c r="B340" t="s">
        <v>437</v>
      </c>
      <c r="C340" t="s">
        <v>894</v>
      </c>
      <c r="D340" t="s">
        <v>1102</v>
      </c>
      <c r="E340" t="s">
        <v>1278</v>
      </c>
      <c r="F340" t="s">
        <v>1304</v>
      </c>
      <c r="G340" s="7">
        <v>400</v>
      </c>
      <c r="H340" t="str">
        <f t="shared" si="29"/>
        <v>K</v>
      </c>
      <c r="I340" s="1">
        <v>1356058.34641</v>
      </c>
      <c r="J340" s="1">
        <v>14009.15991</v>
      </c>
      <c r="K340" s="1">
        <v>16106.03629</v>
      </c>
      <c r="L340" s="1">
        <v>16106.03629</v>
      </c>
      <c r="M340" s="1">
        <v>22979.014200000001</v>
      </c>
      <c r="N340" s="1">
        <v>4066</v>
      </c>
      <c r="O340" s="2">
        <f t="shared" si="25"/>
        <v>2.9983960577833852E-3</v>
      </c>
      <c r="P340">
        <f t="shared" si="26"/>
        <v>0</v>
      </c>
      <c r="Q340" s="1">
        <v>624</v>
      </c>
      <c r="R340" s="1">
        <v>54853.326829999998</v>
      </c>
      <c r="S340" s="1">
        <v>501733.97579</v>
      </c>
      <c r="T340" s="1">
        <v>191044.8039</v>
      </c>
      <c r="U340" s="1">
        <v>310689.17189</v>
      </c>
      <c r="V340" s="1">
        <v>195905.23924</v>
      </c>
      <c r="W340" s="1">
        <v>305828.73654999997</v>
      </c>
      <c r="X340" s="1">
        <v>1382813.2258899999</v>
      </c>
      <c r="Y340" s="1">
        <v>14052.917339999991</v>
      </c>
      <c r="Z340" s="1">
        <v>16536.687209999989</v>
      </c>
      <c r="AA340" s="1">
        <v>11242.64720999999</v>
      </c>
      <c r="AB340" s="1">
        <v>22730.524160000001</v>
      </c>
      <c r="AC340" s="1">
        <v>0</v>
      </c>
      <c r="AD340" s="2">
        <f t="shared" si="27"/>
        <v>0</v>
      </c>
      <c r="AE340">
        <f t="shared" si="28"/>
        <v>0</v>
      </c>
      <c r="AF340" s="1">
        <v>477</v>
      </c>
      <c r="AG340" s="1">
        <v>67260.322520000002</v>
      </c>
      <c r="AH340" s="1">
        <v>479478.45130999997</v>
      </c>
      <c r="AI340" s="1">
        <v>130014.95868</v>
      </c>
      <c r="AJ340" s="1">
        <v>349463.49262999999</v>
      </c>
      <c r="AK340" s="1">
        <v>124045.39322</v>
      </c>
      <c r="AL340" s="1">
        <v>355433.05808999989</v>
      </c>
    </row>
    <row r="341" spans="1:38" x14ac:dyDescent="0.2">
      <c r="A341">
        <v>375</v>
      </c>
      <c r="B341" t="s">
        <v>480</v>
      </c>
      <c r="C341" t="s">
        <v>936</v>
      </c>
      <c r="D341" t="s">
        <v>1061</v>
      </c>
      <c r="E341" t="s">
        <v>1234</v>
      </c>
      <c r="F341" t="s">
        <v>1294</v>
      </c>
      <c r="G341" s="7">
        <v>400</v>
      </c>
      <c r="H341" t="str">
        <f t="shared" si="29"/>
        <v>K</v>
      </c>
      <c r="I341" s="1">
        <v>1355586</v>
      </c>
      <c r="J341" s="1">
        <v>-1329</v>
      </c>
      <c r="K341" s="1">
        <v>960</v>
      </c>
      <c r="L341" s="1">
        <v>578</v>
      </c>
      <c r="M341" s="1">
        <v>159</v>
      </c>
      <c r="N341" s="1">
        <v>1865</v>
      </c>
      <c r="O341" s="2">
        <f t="shared" si="25"/>
        <v>1.3757887732685349E-3</v>
      </c>
      <c r="P341">
        <f t="shared" si="26"/>
        <v>0</v>
      </c>
      <c r="Q341" s="1">
        <v>8</v>
      </c>
      <c r="R341" s="1">
        <v>1547.7281599999999</v>
      </c>
      <c r="S341" s="1">
        <v>212435</v>
      </c>
      <c r="T341" s="1">
        <v>10968</v>
      </c>
      <c r="U341" s="1">
        <v>201467</v>
      </c>
      <c r="V341" s="1">
        <v>25008</v>
      </c>
      <c r="W341" s="1">
        <v>187427.09841999999</v>
      </c>
      <c r="X341" s="1">
        <v>785585.7519400001</v>
      </c>
      <c r="Y341" s="1">
        <v>-879.05903000000001</v>
      </c>
      <c r="Z341" s="1">
        <v>-708.99881999999991</v>
      </c>
      <c r="AA341" s="1">
        <v>-676.66012999999998</v>
      </c>
      <c r="AB341" s="1">
        <v>88.893070000000009</v>
      </c>
      <c r="AC341" s="1">
        <v>0</v>
      </c>
      <c r="AD341" s="2">
        <f t="shared" si="27"/>
        <v>0</v>
      </c>
      <c r="AE341">
        <f t="shared" si="28"/>
        <v>0</v>
      </c>
      <c r="AF341" s="1">
        <v>17</v>
      </c>
      <c r="AG341" s="1">
        <v>3076.2725999999998</v>
      </c>
      <c r="AH341" s="1">
        <v>141422.40925999999</v>
      </c>
      <c r="AI341" s="1">
        <v>9474.8548599999995</v>
      </c>
      <c r="AJ341" s="1">
        <v>131947.55439999999</v>
      </c>
      <c r="AK341" s="1">
        <v>21562.138419999999</v>
      </c>
      <c r="AL341" s="1">
        <v>119860.27084</v>
      </c>
    </row>
    <row r="342" spans="1:38" x14ac:dyDescent="0.2">
      <c r="A342">
        <v>376</v>
      </c>
      <c r="B342" t="s">
        <v>467</v>
      </c>
      <c r="C342" t="s">
        <v>923</v>
      </c>
      <c r="D342" t="s">
        <v>1036</v>
      </c>
      <c r="E342" t="s">
        <v>1210</v>
      </c>
      <c r="F342" t="s">
        <v>1305</v>
      </c>
      <c r="G342" s="7">
        <v>500</v>
      </c>
      <c r="H342" t="str">
        <f t="shared" si="29"/>
        <v>Z</v>
      </c>
      <c r="I342" s="1">
        <v>1240726</v>
      </c>
      <c r="J342" s="1">
        <v>43675</v>
      </c>
      <c r="K342" s="1">
        <v>32932</v>
      </c>
      <c r="L342" s="1">
        <v>16767</v>
      </c>
      <c r="M342" s="1">
        <v>53267</v>
      </c>
      <c r="N342" s="1">
        <v>1240720</v>
      </c>
      <c r="O342" s="2">
        <f t="shared" si="25"/>
        <v>0.99999516412165135</v>
      </c>
      <c r="P342">
        <f t="shared" si="26"/>
        <v>1</v>
      </c>
      <c r="Q342" s="1">
        <v>2142</v>
      </c>
      <c r="R342" s="1">
        <v>150682</v>
      </c>
      <c r="S342" s="1">
        <v>651114</v>
      </c>
      <c r="T342" s="1">
        <v>334830</v>
      </c>
      <c r="U342" s="1">
        <v>316284</v>
      </c>
      <c r="V342" s="1">
        <v>94301</v>
      </c>
      <c r="W342" s="1">
        <v>556813</v>
      </c>
      <c r="X342" s="1">
        <v>1101316</v>
      </c>
      <c r="Y342" s="1">
        <v>-40453</v>
      </c>
      <c r="Z342" s="1">
        <v>-64113</v>
      </c>
      <c r="AA342" s="1">
        <v>-64113</v>
      </c>
      <c r="AB342" s="1">
        <v>52907</v>
      </c>
      <c r="AC342" s="1">
        <v>1097425</v>
      </c>
      <c r="AD342" s="2">
        <f t="shared" si="27"/>
        <v>0.9964669540803911</v>
      </c>
      <c r="AE342">
        <f t="shared" si="28"/>
        <v>1</v>
      </c>
      <c r="AF342" s="1">
        <v>1735</v>
      </c>
      <c r="AG342" s="1">
        <v>192686</v>
      </c>
      <c r="AH342" s="1">
        <v>665523</v>
      </c>
      <c r="AI342" s="1">
        <v>416526</v>
      </c>
      <c r="AJ342" s="1">
        <v>248997</v>
      </c>
      <c r="AK342" s="1">
        <v>89871</v>
      </c>
      <c r="AL342" s="1">
        <v>575652</v>
      </c>
    </row>
    <row r="343" spans="1:38" x14ac:dyDescent="0.2">
      <c r="A343">
        <v>377</v>
      </c>
      <c r="B343" t="s">
        <v>463</v>
      </c>
      <c r="C343" t="s">
        <v>919</v>
      </c>
      <c r="D343" t="s">
        <v>1036</v>
      </c>
      <c r="E343" t="s">
        <v>1210</v>
      </c>
      <c r="F343" t="s">
        <v>1305</v>
      </c>
      <c r="G343" s="7">
        <v>500</v>
      </c>
      <c r="H343" t="str">
        <f t="shared" si="29"/>
        <v>Z</v>
      </c>
      <c r="I343" s="1">
        <v>1352117</v>
      </c>
      <c r="J343" s="1">
        <v>141785</v>
      </c>
      <c r="K343" s="1">
        <v>136009</v>
      </c>
      <c r="L343" s="1">
        <v>108298</v>
      </c>
      <c r="M343" s="1">
        <v>84170</v>
      </c>
      <c r="N343" s="1">
        <v>1299145</v>
      </c>
      <c r="O343" s="2">
        <f t="shared" si="25"/>
        <v>0.96082291695171351</v>
      </c>
      <c r="P343">
        <f t="shared" si="26"/>
        <v>1</v>
      </c>
      <c r="Q343" s="1">
        <v>507</v>
      </c>
      <c r="R343" s="1">
        <v>48679.744899999998</v>
      </c>
      <c r="S343" s="1">
        <v>614267</v>
      </c>
      <c r="T343" s="1">
        <v>202787</v>
      </c>
      <c r="U343" s="1">
        <v>411480</v>
      </c>
      <c r="V343" s="1">
        <v>297656</v>
      </c>
      <c r="W343" s="1">
        <v>316610.92742000002</v>
      </c>
      <c r="X343" s="1">
        <v>1131692.1847699999</v>
      </c>
      <c r="Y343" s="1">
        <v>88073.624379999994</v>
      </c>
      <c r="Z343" s="1">
        <v>88886.727040000012</v>
      </c>
      <c r="AA343" s="1">
        <v>76386.36004</v>
      </c>
      <c r="AB343" s="1">
        <v>29876.136350000001</v>
      </c>
      <c r="AC343" s="1">
        <v>1123938</v>
      </c>
      <c r="AD343" s="2">
        <f t="shared" si="27"/>
        <v>0.99314815028825543</v>
      </c>
      <c r="AE343">
        <f t="shared" si="28"/>
        <v>1</v>
      </c>
      <c r="AF343" s="1">
        <v>478</v>
      </c>
      <c r="AG343" s="1">
        <v>70389.461179999998</v>
      </c>
      <c r="AH343" s="1">
        <v>544138.57998000004</v>
      </c>
      <c r="AI343" s="1">
        <v>150219.51267</v>
      </c>
      <c r="AJ343" s="1">
        <v>393919.06731000001</v>
      </c>
      <c r="AK343" s="1">
        <v>293394.29012000002</v>
      </c>
      <c r="AL343" s="1">
        <v>250744.28985999999</v>
      </c>
    </row>
    <row r="344" spans="1:38" x14ac:dyDescent="0.2">
      <c r="A344">
        <v>378</v>
      </c>
      <c r="B344" t="s">
        <v>369</v>
      </c>
      <c r="C344" t="s">
        <v>826</v>
      </c>
      <c r="D344" t="s">
        <v>1088</v>
      </c>
      <c r="E344" t="s">
        <v>1262</v>
      </c>
      <c r="F344" t="s">
        <v>1305</v>
      </c>
      <c r="G344" s="7">
        <v>500</v>
      </c>
      <c r="H344" t="str">
        <f t="shared" si="29"/>
        <v>Z</v>
      </c>
      <c r="I344" s="1">
        <v>1347735</v>
      </c>
      <c r="J344" s="1">
        <v>441428</v>
      </c>
      <c r="K344" s="1">
        <v>407765</v>
      </c>
      <c r="L344" s="1">
        <v>350859</v>
      </c>
      <c r="M344" s="1">
        <v>165716</v>
      </c>
      <c r="N344" s="1">
        <v>979747</v>
      </c>
      <c r="O344" s="2">
        <f t="shared" si="25"/>
        <v>0.72695819281980512</v>
      </c>
      <c r="P344">
        <f t="shared" si="26"/>
        <v>1</v>
      </c>
      <c r="Q344" s="1">
        <v>981</v>
      </c>
      <c r="R344" s="1">
        <v>100572.5101</v>
      </c>
      <c r="S344" s="1">
        <v>3533201</v>
      </c>
      <c r="T344" s="1">
        <v>2979534</v>
      </c>
      <c r="U344" s="1">
        <v>553667</v>
      </c>
      <c r="V344" s="1">
        <v>1603562</v>
      </c>
      <c r="W344" s="1">
        <v>1929639.1635</v>
      </c>
      <c r="X344" s="1">
        <v>1796606.1555300001</v>
      </c>
      <c r="Y344" s="1">
        <v>258996.58501000001</v>
      </c>
      <c r="Z344" s="1">
        <v>240558.69013999999</v>
      </c>
      <c r="AA344" s="1">
        <v>182347.27014000001</v>
      </c>
      <c r="AB344" s="1">
        <v>165920.65359</v>
      </c>
      <c r="AC344" s="1">
        <v>1169993</v>
      </c>
      <c r="AD344" s="2">
        <f t="shared" si="27"/>
        <v>0.65122397382349573</v>
      </c>
      <c r="AE344">
        <f t="shared" si="28"/>
        <v>1</v>
      </c>
      <c r="AF344" s="1">
        <v>1286</v>
      </c>
      <c r="AG344" s="1">
        <v>216664.46799</v>
      </c>
      <c r="AH344" s="1">
        <v>2796393.5641399999</v>
      </c>
      <c r="AI344" s="1">
        <v>2094653.8029100001</v>
      </c>
      <c r="AJ344" s="1">
        <v>701739.76123000006</v>
      </c>
      <c r="AK344" s="1">
        <v>1401199.2701399999</v>
      </c>
      <c r="AL344" s="1">
        <v>1395194.294</v>
      </c>
    </row>
    <row r="345" spans="1:38" x14ac:dyDescent="0.2">
      <c r="A345">
        <v>379</v>
      </c>
      <c r="B345" t="s">
        <v>346</v>
      </c>
      <c r="C345" t="s">
        <v>803</v>
      </c>
      <c r="D345" t="s">
        <v>1060</v>
      </c>
      <c r="E345" t="s">
        <v>1233</v>
      </c>
      <c r="F345" t="s">
        <v>1294</v>
      </c>
      <c r="G345" s="7">
        <v>500</v>
      </c>
      <c r="H345" t="str">
        <f t="shared" si="29"/>
        <v>Z</v>
      </c>
      <c r="I345" s="1">
        <v>1340776</v>
      </c>
      <c r="J345" s="1">
        <v>42708</v>
      </c>
      <c r="K345" s="1">
        <v>32538</v>
      </c>
      <c r="L345" s="1">
        <v>10348</v>
      </c>
      <c r="M345" s="1">
        <v>73457</v>
      </c>
      <c r="N345" s="1">
        <v>23236</v>
      </c>
      <c r="O345" s="2">
        <f t="shared" si="25"/>
        <v>1.7330262474865302E-2</v>
      </c>
      <c r="P345">
        <f t="shared" si="26"/>
        <v>0</v>
      </c>
      <c r="Q345" s="1">
        <v>1037</v>
      </c>
      <c r="R345" s="1">
        <v>133428</v>
      </c>
      <c r="S345" s="1">
        <v>1149826</v>
      </c>
      <c r="T345" s="1">
        <v>813993</v>
      </c>
      <c r="U345" s="1">
        <v>335833</v>
      </c>
      <c r="V345" s="1">
        <v>592649</v>
      </c>
      <c r="W345" s="1">
        <v>557177</v>
      </c>
      <c r="X345" s="1">
        <v>2098563</v>
      </c>
      <c r="Y345" s="1">
        <v>142174</v>
      </c>
      <c r="Z345" s="1">
        <v>122547</v>
      </c>
      <c r="AA345" s="1">
        <v>95386</v>
      </c>
      <c r="AB345" s="1">
        <v>86087</v>
      </c>
      <c r="AC345" s="1">
        <v>20666</v>
      </c>
      <c r="AD345" s="2">
        <f t="shared" si="27"/>
        <v>9.847691015232805E-3</v>
      </c>
      <c r="AE345">
        <f t="shared" si="28"/>
        <v>0</v>
      </c>
      <c r="AF345" s="1">
        <v>1093</v>
      </c>
      <c r="AG345" s="1">
        <v>181139</v>
      </c>
      <c r="AH345" s="1">
        <v>1620527</v>
      </c>
      <c r="AI345" s="1">
        <v>1012308</v>
      </c>
      <c r="AJ345" s="1">
        <v>608219</v>
      </c>
      <c r="AK345" s="1">
        <v>844091</v>
      </c>
      <c r="AL345" s="1">
        <v>776436</v>
      </c>
    </row>
    <row r="346" spans="1:38" x14ac:dyDescent="0.2">
      <c r="A346">
        <v>380</v>
      </c>
      <c r="B346" t="s">
        <v>416</v>
      </c>
      <c r="C346" t="s">
        <v>873</v>
      </c>
      <c r="D346" t="s">
        <v>1096</v>
      </c>
      <c r="E346" t="s">
        <v>1272</v>
      </c>
      <c r="F346" t="s">
        <v>1306</v>
      </c>
      <c r="G346" s="7">
        <v>400</v>
      </c>
      <c r="H346" t="str">
        <f t="shared" si="29"/>
        <v>K</v>
      </c>
      <c r="I346" s="1">
        <v>1335629</v>
      </c>
      <c r="J346" s="1">
        <v>153402</v>
      </c>
      <c r="K346" s="1">
        <v>163993</v>
      </c>
      <c r="L346" s="1">
        <v>163993</v>
      </c>
      <c r="M346" s="1">
        <v>55156</v>
      </c>
      <c r="N346" s="1">
        <v>1034110</v>
      </c>
      <c r="O346" s="2">
        <f t="shared" si="25"/>
        <v>0.77424943603350926</v>
      </c>
      <c r="P346">
        <f t="shared" si="26"/>
        <v>1</v>
      </c>
      <c r="Q346" s="1">
        <v>2098</v>
      </c>
      <c r="R346" s="1">
        <v>125704.70297</v>
      </c>
      <c r="S346" s="1">
        <v>537131</v>
      </c>
      <c r="T346" s="1">
        <v>219479</v>
      </c>
      <c r="U346" s="1">
        <v>317652</v>
      </c>
      <c r="V346" s="1">
        <v>465605</v>
      </c>
      <c r="W346" s="1">
        <v>71525.803579999993</v>
      </c>
      <c r="X346" s="1">
        <v>1540062.3842199999</v>
      </c>
      <c r="Y346" s="1">
        <v>284384.35074000002</v>
      </c>
      <c r="Z346" s="1">
        <v>301912.25555</v>
      </c>
      <c r="AA346" s="1">
        <v>242853.38088000001</v>
      </c>
      <c r="AB346" s="1">
        <v>37040.080729999987</v>
      </c>
      <c r="AC346" s="1">
        <v>1224755</v>
      </c>
      <c r="AD346" s="2">
        <f t="shared" si="27"/>
        <v>0.7952632390409986</v>
      </c>
      <c r="AE346">
        <f t="shared" si="28"/>
        <v>1</v>
      </c>
      <c r="AF346" s="1">
        <v>1677</v>
      </c>
      <c r="AG346" s="1">
        <v>155275.25510000001</v>
      </c>
      <c r="AH346" s="1">
        <v>872857.86320999986</v>
      </c>
      <c r="AI346" s="1">
        <v>324070.93219999998</v>
      </c>
      <c r="AJ346" s="1">
        <v>548786.93100999994</v>
      </c>
      <c r="AK346" s="1">
        <v>664829.61722000001</v>
      </c>
      <c r="AL346" s="1">
        <v>208028.24599</v>
      </c>
    </row>
    <row r="347" spans="1:38" x14ac:dyDescent="0.2">
      <c r="A347">
        <v>381</v>
      </c>
      <c r="B347" t="s">
        <v>433</v>
      </c>
      <c r="C347" t="s">
        <v>890</v>
      </c>
      <c r="D347" t="s">
        <v>53</v>
      </c>
      <c r="E347" t="s">
        <v>1265</v>
      </c>
      <c r="F347" t="s">
        <v>1306</v>
      </c>
      <c r="G347" s="7">
        <v>500</v>
      </c>
      <c r="H347" t="str">
        <f t="shared" si="29"/>
        <v>Z</v>
      </c>
      <c r="I347" s="1">
        <v>1333529</v>
      </c>
      <c r="J347" s="1">
        <v>137940</v>
      </c>
      <c r="K347" s="1">
        <v>136056</v>
      </c>
      <c r="L347" s="1">
        <v>140507</v>
      </c>
      <c r="M347" s="1">
        <v>87242</v>
      </c>
      <c r="N347" s="1">
        <v>9858</v>
      </c>
      <c r="O347" s="2">
        <f t="shared" si="25"/>
        <v>7.3924151630748187E-3</v>
      </c>
      <c r="P347">
        <f t="shared" si="26"/>
        <v>0</v>
      </c>
      <c r="Q347" s="1">
        <v>703</v>
      </c>
      <c r="R347" s="1">
        <v>65995.281840000011</v>
      </c>
      <c r="S347" s="1">
        <v>1277127</v>
      </c>
      <c r="T347" s="1">
        <v>1035887</v>
      </c>
      <c r="U347" s="1">
        <v>241240</v>
      </c>
      <c r="V347" s="1">
        <v>1020430</v>
      </c>
      <c r="W347" s="1">
        <v>256696.27376000001</v>
      </c>
      <c r="X347" s="1">
        <v>1408239.6393200001</v>
      </c>
      <c r="Y347" s="1">
        <v>88821.297579999999</v>
      </c>
      <c r="Z347" s="1">
        <v>89301.999230000001</v>
      </c>
      <c r="AA347" s="1">
        <v>73128.615519999992</v>
      </c>
      <c r="AB347" s="1">
        <v>96983.780379999997</v>
      </c>
      <c r="AC347" s="1">
        <v>18378.639319999838</v>
      </c>
      <c r="AD347" s="2">
        <f t="shared" si="27"/>
        <v>1.3050789657415391E-2</v>
      </c>
      <c r="AE347">
        <f t="shared" si="28"/>
        <v>0</v>
      </c>
      <c r="AF347" s="1">
        <v>680</v>
      </c>
      <c r="AG347" s="1">
        <v>96634.446530000001</v>
      </c>
      <c r="AH347" s="1">
        <v>1310828.9392899999</v>
      </c>
      <c r="AI347" s="1">
        <v>1084968.0092499999</v>
      </c>
      <c r="AJ347" s="1">
        <v>225860.93004000001</v>
      </c>
      <c r="AK347" s="1">
        <v>957305.70123999997</v>
      </c>
      <c r="AL347" s="1">
        <v>353523.23804999999</v>
      </c>
    </row>
    <row r="348" spans="1:38" x14ac:dyDescent="0.2">
      <c r="A348">
        <v>382</v>
      </c>
      <c r="B348" t="s">
        <v>324</v>
      </c>
      <c r="C348" t="s">
        <v>781</v>
      </c>
      <c r="D348" t="s">
        <v>1029</v>
      </c>
      <c r="E348" t="s">
        <v>1201</v>
      </c>
      <c r="F348" t="s">
        <v>1310</v>
      </c>
      <c r="G348" s="7">
        <v>400</v>
      </c>
      <c r="H348" t="str">
        <f t="shared" si="29"/>
        <v>K</v>
      </c>
      <c r="I348" s="1">
        <v>1265374.2613299999</v>
      </c>
      <c r="J348" s="1">
        <v>10717.400030000001</v>
      </c>
      <c r="K348" s="1">
        <v>7460.3019299999996</v>
      </c>
      <c r="L348" s="1">
        <v>5714.6849299999994</v>
      </c>
      <c r="M348" s="1">
        <v>5253.2659599999997</v>
      </c>
      <c r="N348" s="1">
        <v>5395</v>
      </c>
      <c r="O348" s="2">
        <f t="shared" si="25"/>
        <v>4.2635607226034966E-3</v>
      </c>
      <c r="P348">
        <f t="shared" si="26"/>
        <v>0</v>
      </c>
      <c r="Q348" s="1">
        <v>411</v>
      </c>
      <c r="R348" s="1">
        <v>37930.038030000003</v>
      </c>
      <c r="S348" s="1">
        <v>377569.41824000003</v>
      </c>
      <c r="T348" s="1">
        <v>71078.289409999998</v>
      </c>
      <c r="U348" s="1">
        <v>306491.12883</v>
      </c>
      <c r="V348" s="1">
        <v>140052.83455999999</v>
      </c>
      <c r="W348" s="1">
        <v>237516.58368000001</v>
      </c>
      <c r="X348" s="1">
        <v>2237808.0290199998</v>
      </c>
      <c r="Y348" s="1">
        <v>28775.132730000001</v>
      </c>
      <c r="Z348" s="1">
        <v>16612.229909999998</v>
      </c>
      <c r="AA348" s="1">
        <v>15311.86591</v>
      </c>
      <c r="AB348" s="1">
        <v>9975.8402899999983</v>
      </c>
      <c r="AC348" s="1">
        <v>81306</v>
      </c>
      <c r="AD348" s="2">
        <f t="shared" si="27"/>
        <v>3.6332875271524623E-2</v>
      </c>
      <c r="AE348">
        <f t="shared" si="28"/>
        <v>0</v>
      </c>
      <c r="AF348" s="1">
        <v>479</v>
      </c>
      <c r="AG348" s="1">
        <v>66261.379890000011</v>
      </c>
      <c r="AH348" s="1">
        <v>487943.88066999998</v>
      </c>
      <c r="AI348" s="1">
        <v>127049.34493000001</v>
      </c>
      <c r="AJ348" s="1">
        <v>360894.53574000002</v>
      </c>
      <c r="AK348" s="1">
        <v>246992.04384</v>
      </c>
      <c r="AL348" s="1">
        <v>240951.83682999999</v>
      </c>
    </row>
    <row r="349" spans="1:38" x14ac:dyDescent="0.2">
      <c r="A349">
        <v>383</v>
      </c>
      <c r="B349" t="s">
        <v>264</v>
      </c>
      <c r="C349" t="s">
        <v>720</v>
      </c>
      <c r="D349" t="s">
        <v>39</v>
      </c>
      <c r="E349" t="s">
        <v>1157</v>
      </c>
      <c r="F349" t="s">
        <v>1308</v>
      </c>
      <c r="G349" s="7">
        <v>400</v>
      </c>
      <c r="H349" t="str">
        <f t="shared" si="29"/>
        <v>K</v>
      </c>
      <c r="I349" s="1">
        <v>1327289.5610199999</v>
      </c>
      <c r="J349" s="1">
        <v>17311</v>
      </c>
      <c r="K349" s="1">
        <v>19168</v>
      </c>
      <c r="L349" s="1">
        <v>14662</v>
      </c>
      <c r="M349" s="1">
        <v>50588</v>
      </c>
      <c r="N349" s="1">
        <v>36553</v>
      </c>
      <c r="O349" s="2">
        <f t="shared" si="25"/>
        <v>2.7539582223422017E-2</v>
      </c>
      <c r="P349">
        <f t="shared" si="26"/>
        <v>0</v>
      </c>
      <c r="Q349" s="1">
        <v>944</v>
      </c>
      <c r="R349" s="1">
        <v>98763</v>
      </c>
      <c r="S349" s="1">
        <v>636474.27558999998</v>
      </c>
      <c r="T349" s="1">
        <v>320324.60417000001</v>
      </c>
      <c r="U349" s="1">
        <v>316149.67142000003</v>
      </c>
      <c r="V349" s="1">
        <v>433642.55969000002</v>
      </c>
      <c r="W349" s="1">
        <v>202838.05590000001</v>
      </c>
      <c r="X349" s="1">
        <v>2815105</v>
      </c>
      <c r="Y349" s="1">
        <v>58655</v>
      </c>
      <c r="Z349" s="1">
        <v>64641</v>
      </c>
      <c r="AA349" s="1">
        <v>60817</v>
      </c>
      <c r="AB349" s="1">
        <v>60029</v>
      </c>
      <c r="AC349" s="1">
        <v>64296</v>
      </c>
      <c r="AD349" s="2">
        <f t="shared" si="27"/>
        <v>2.2839645412870924E-2</v>
      </c>
      <c r="AE349">
        <f t="shared" si="28"/>
        <v>0</v>
      </c>
      <c r="AF349" s="1">
        <v>1245</v>
      </c>
      <c r="AG349" s="1">
        <v>211195</v>
      </c>
      <c r="AH349" s="1">
        <v>1101025</v>
      </c>
      <c r="AI349" s="1">
        <v>536882</v>
      </c>
      <c r="AJ349" s="1">
        <v>564143</v>
      </c>
      <c r="AK349" s="1">
        <v>756216</v>
      </c>
      <c r="AL349" s="1">
        <v>344809</v>
      </c>
    </row>
    <row r="350" spans="1:38" x14ac:dyDescent="0.2">
      <c r="A350">
        <v>384</v>
      </c>
      <c r="B350" t="s">
        <v>372</v>
      </c>
      <c r="C350" t="s">
        <v>829</v>
      </c>
      <c r="D350" t="s">
        <v>984</v>
      </c>
      <c r="E350" t="s">
        <v>1142</v>
      </c>
      <c r="F350" t="s">
        <v>1294</v>
      </c>
      <c r="G350" s="7">
        <v>400</v>
      </c>
      <c r="H350" t="str">
        <f t="shared" si="29"/>
        <v>K</v>
      </c>
      <c r="I350" s="1">
        <v>1326486</v>
      </c>
      <c r="J350" s="1">
        <v>63562</v>
      </c>
      <c r="K350" s="1">
        <v>56912</v>
      </c>
      <c r="L350" s="1">
        <v>39680</v>
      </c>
      <c r="M350" s="1">
        <v>38265</v>
      </c>
      <c r="N350" s="1">
        <v>848951.04</v>
      </c>
      <c r="O350" s="2">
        <f t="shared" si="25"/>
        <v>0.64</v>
      </c>
      <c r="P350">
        <f t="shared" si="26"/>
        <v>1</v>
      </c>
      <c r="Q350" s="1">
        <v>1816</v>
      </c>
      <c r="R350" s="1">
        <v>195051</v>
      </c>
      <c r="S350" s="1">
        <v>848743</v>
      </c>
      <c r="T350" s="1">
        <v>323592</v>
      </c>
      <c r="U350" s="1">
        <v>525151</v>
      </c>
      <c r="V350" s="1">
        <v>459042</v>
      </c>
      <c r="W350" s="1">
        <v>389701</v>
      </c>
      <c r="X350" s="1">
        <v>1779581</v>
      </c>
      <c r="Y350" s="1">
        <v>145570</v>
      </c>
      <c r="Z350" s="1">
        <v>107028</v>
      </c>
      <c r="AA350" s="1">
        <v>86268</v>
      </c>
      <c r="AB350" s="1">
        <v>44175</v>
      </c>
      <c r="AC350" s="1">
        <v>1380168</v>
      </c>
      <c r="AD350" s="2">
        <f t="shared" si="27"/>
        <v>0.77555784198640021</v>
      </c>
      <c r="AE350">
        <f t="shared" si="28"/>
        <v>1</v>
      </c>
      <c r="AF350" s="1">
        <v>1742</v>
      </c>
      <c r="AG350" s="1">
        <v>42790</v>
      </c>
      <c r="AH350" s="1">
        <v>1326355</v>
      </c>
      <c r="AI350" s="1">
        <v>658413</v>
      </c>
      <c r="AJ350" s="1">
        <v>667942</v>
      </c>
      <c r="AK350" s="1">
        <v>738865</v>
      </c>
      <c r="AL350" s="1">
        <v>587490</v>
      </c>
    </row>
    <row r="351" spans="1:38" x14ac:dyDescent="0.2">
      <c r="A351">
        <v>385</v>
      </c>
      <c r="B351" t="s">
        <v>314</v>
      </c>
      <c r="C351" t="s">
        <v>770</v>
      </c>
      <c r="D351" t="s">
        <v>992</v>
      </c>
      <c r="E351" t="s">
        <v>1152</v>
      </c>
      <c r="F351" t="s">
        <v>1307</v>
      </c>
      <c r="G351" s="7">
        <v>400</v>
      </c>
      <c r="H351" t="str">
        <f t="shared" si="29"/>
        <v>K</v>
      </c>
      <c r="I351" s="1">
        <v>1324492</v>
      </c>
      <c r="J351" s="1">
        <v>8884</v>
      </c>
      <c r="K351" s="1">
        <v>6405</v>
      </c>
      <c r="L351" s="1">
        <v>5093</v>
      </c>
      <c r="M351" s="1">
        <v>6580</v>
      </c>
      <c r="N351" s="1">
        <v>162.5</v>
      </c>
      <c r="O351" s="2">
        <f t="shared" si="25"/>
        <v>1.2268854776019788E-4</v>
      </c>
      <c r="P351">
        <f t="shared" si="26"/>
        <v>0</v>
      </c>
      <c r="Q351" s="1">
        <v>244</v>
      </c>
      <c r="R351" s="1">
        <v>22200.887699999999</v>
      </c>
      <c r="S351" s="1">
        <v>461266</v>
      </c>
      <c r="T351" s="1">
        <v>58766</v>
      </c>
      <c r="U351" s="1">
        <v>402500</v>
      </c>
      <c r="V351" s="1">
        <v>106562</v>
      </c>
      <c r="W351" s="1">
        <v>354704.41472</v>
      </c>
      <c r="X351" s="1">
        <v>2313812.8709800001</v>
      </c>
      <c r="Y351" s="1">
        <v>17786.791850000001</v>
      </c>
      <c r="Z351" s="1">
        <v>724.30961000000002</v>
      </c>
      <c r="AA351" s="1">
        <v>1405.65753</v>
      </c>
      <c r="AB351" s="1">
        <v>8763.3877499999999</v>
      </c>
      <c r="AC351" s="1">
        <v>250</v>
      </c>
      <c r="AD351" s="2">
        <f t="shared" si="27"/>
        <v>1.0804676693414457E-4</v>
      </c>
      <c r="AE351">
        <f t="shared" si="28"/>
        <v>0</v>
      </c>
      <c r="AF351" s="1">
        <v>211</v>
      </c>
      <c r="AG351" s="1">
        <v>37562.158360000001</v>
      </c>
      <c r="AH351" s="1">
        <v>810781.94319999998</v>
      </c>
      <c r="AI351" s="1">
        <v>154307.71333999999</v>
      </c>
      <c r="AJ351" s="1">
        <v>656474.22985999996</v>
      </c>
      <c r="AK351" s="1">
        <v>118331.19319999999</v>
      </c>
      <c r="AL351" s="1">
        <v>692450.75</v>
      </c>
    </row>
    <row r="352" spans="1:38" x14ac:dyDescent="0.2">
      <c r="A352">
        <v>386</v>
      </c>
      <c r="B352" t="s">
        <v>502</v>
      </c>
      <c r="C352" t="s">
        <v>956</v>
      </c>
      <c r="D352" t="s">
        <v>982</v>
      </c>
      <c r="E352" t="s">
        <v>1146</v>
      </c>
      <c r="F352" t="s">
        <v>1300</v>
      </c>
      <c r="G352" s="7">
        <v>500</v>
      </c>
      <c r="H352" t="str">
        <f t="shared" si="29"/>
        <v>Z</v>
      </c>
      <c r="I352" s="1">
        <v>1323613.9108899999</v>
      </c>
      <c r="J352" s="1">
        <v>7364</v>
      </c>
      <c r="K352" s="1">
        <v>3728</v>
      </c>
      <c r="L352" s="1">
        <v>3131</v>
      </c>
      <c r="M352" s="1">
        <v>220</v>
      </c>
      <c r="N352" s="1">
        <v>1061641</v>
      </c>
      <c r="O352" s="2">
        <f t="shared" si="25"/>
        <v>0.80207754789019337</v>
      </c>
      <c r="P352">
        <f t="shared" si="26"/>
        <v>1</v>
      </c>
      <c r="Q352" s="1">
        <v>24</v>
      </c>
      <c r="R352" s="1">
        <v>4389.4008599999997</v>
      </c>
      <c r="S352" s="1">
        <v>108971</v>
      </c>
      <c r="T352" s="1">
        <v>13600</v>
      </c>
      <c r="U352" s="1">
        <v>95371</v>
      </c>
      <c r="V352" s="1">
        <v>6462</v>
      </c>
      <c r="W352" s="1">
        <v>102508.96866</v>
      </c>
      <c r="X352" s="1">
        <v>0</v>
      </c>
      <c r="Y352" s="1">
        <v>-1382.33152</v>
      </c>
      <c r="Z352" s="1">
        <v>-1219.6745100000001</v>
      </c>
      <c r="AA352" s="1">
        <v>-1219.6745100000001</v>
      </c>
      <c r="AB352" s="1">
        <v>128.83168000000001</v>
      </c>
      <c r="AC352" s="1">
        <v>0</v>
      </c>
      <c r="AD352" s="2">
        <f t="shared" si="27"/>
        <v>0</v>
      </c>
      <c r="AE352">
        <f t="shared" si="28"/>
        <v>0</v>
      </c>
      <c r="AF352" s="1">
        <v>1</v>
      </c>
      <c r="AG352" s="1">
        <v>294.12682000000001</v>
      </c>
      <c r="AH352" s="1">
        <v>16670</v>
      </c>
      <c r="AI352" s="1">
        <v>0</v>
      </c>
      <c r="AJ352" s="1">
        <v>16670</v>
      </c>
      <c r="AK352" s="1">
        <v>6921.1872400000002</v>
      </c>
      <c r="AL352" s="1">
        <v>9748.9904200000001</v>
      </c>
    </row>
    <row r="353" spans="1:38" x14ac:dyDescent="0.2">
      <c r="A353">
        <v>388</v>
      </c>
      <c r="B353" t="s">
        <v>429</v>
      </c>
      <c r="C353" t="s">
        <v>886</v>
      </c>
      <c r="D353" t="s">
        <v>1036</v>
      </c>
      <c r="E353" t="s">
        <v>1210</v>
      </c>
      <c r="F353" t="s">
        <v>1305</v>
      </c>
      <c r="G353" s="7">
        <v>500</v>
      </c>
      <c r="H353" t="str">
        <f t="shared" si="29"/>
        <v>Z</v>
      </c>
      <c r="I353" s="1">
        <v>1321308</v>
      </c>
      <c r="J353" s="1">
        <v>86637</v>
      </c>
      <c r="K353" s="1">
        <v>77377</v>
      </c>
      <c r="L353" s="1">
        <v>70871</v>
      </c>
      <c r="M353" s="1">
        <v>44974</v>
      </c>
      <c r="N353" s="1">
        <v>1311558</v>
      </c>
      <c r="O353" s="2">
        <f t="shared" si="25"/>
        <v>0.99262094833301551</v>
      </c>
      <c r="P353">
        <f t="shared" si="26"/>
        <v>1</v>
      </c>
      <c r="Q353" s="1">
        <v>1949</v>
      </c>
      <c r="R353" s="1">
        <v>139166</v>
      </c>
      <c r="S353" s="1">
        <v>805582</v>
      </c>
      <c r="T353" s="1">
        <v>282913</v>
      </c>
      <c r="U353" s="1">
        <v>522669</v>
      </c>
      <c r="V353" s="1">
        <v>539311</v>
      </c>
      <c r="W353" s="1">
        <v>266271</v>
      </c>
      <c r="X353" s="1">
        <v>1448132</v>
      </c>
      <c r="Y353" s="1">
        <v>-53486</v>
      </c>
      <c r="Z353" s="1">
        <v>-55192</v>
      </c>
      <c r="AA353" s="1">
        <v>-75297</v>
      </c>
      <c r="AB353" s="1">
        <v>54390</v>
      </c>
      <c r="AC353" s="1">
        <v>1358871</v>
      </c>
      <c r="AD353" s="2">
        <f t="shared" si="27"/>
        <v>0.93836128198258173</v>
      </c>
      <c r="AE353">
        <f t="shared" si="28"/>
        <v>1</v>
      </c>
      <c r="AF353" s="1">
        <v>1645</v>
      </c>
      <c r="AG353" s="1">
        <v>181673</v>
      </c>
      <c r="AH353" s="1">
        <v>602152</v>
      </c>
      <c r="AI353" s="1">
        <v>356633</v>
      </c>
      <c r="AJ353" s="1">
        <v>245519</v>
      </c>
      <c r="AK353" s="1">
        <v>185337</v>
      </c>
      <c r="AL353" s="1">
        <v>416814</v>
      </c>
    </row>
    <row r="354" spans="1:38" x14ac:dyDescent="0.2">
      <c r="A354">
        <v>389</v>
      </c>
      <c r="B354" t="s">
        <v>295</v>
      </c>
      <c r="C354" t="s">
        <v>751</v>
      </c>
      <c r="D354" t="s">
        <v>1066</v>
      </c>
      <c r="E354" t="s">
        <v>1240</v>
      </c>
      <c r="F354" t="s">
        <v>1309</v>
      </c>
      <c r="G354" s="7">
        <v>500</v>
      </c>
      <c r="H354" t="str">
        <f t="shared" si="29"/>
        <v>Z</v>
      </c>
      <c r="I354" s="1">
        <v>1318519</v>
      </c>
      <c r="J354" s="1">
        <v>116283</v>
      </c>
      <c r="K354" s="1">
        <v>115663</v>
      </c>
      <c r="L354" s="1">
        <v>90701</v>
      </c>
      <c r="M354" s="1">
        <v>15635</v>
      </c>
      <c r="N354" s="1">
        <v>1265700</v>
      </c>
      <c r="O354" s="2">
        <f t="shared" si="25"/>
        <v>0.95994066069582618</v>
      </c>
      <c r="P354">
        <f t="shared" si="26"/>
        <v>1</v>
      </c>
      <c r="Q354" s="1">
        <v>8592</v>
      </c>
      <c r="R354" s="1">
        <v>968969.27294000005</v>
      </c>
      <c r="S354" s="1">
        <v>376936</v>
      </c>
      <c r="T354" s="1">
        <v>70372</v>
      </c>
      <c r="U354" s="1">
        <v>306564</v>
      </c>
      <c r="V354" s="1">
        <v>198562</v>
      </c>
      <c r="W354" s="1">
        <v>178373.89139</v>
      </c>
      <c r="X354" s="1">
        <v>2477529.4067899999</v>
      </c>
      <c r="Y354" s="1">
        <v>225590.19954</v>
      </c>
      <c r="Z354" s="1">
        <v>254844.15388999999</v>
      </c>
      <c r="AA354" s="1">
        <v>265009.27256999997</v>
      </c>
      <c r="AB354" s="1">
        <v>23150.5514</v>
      </c>
      <c r="AC354" s="1">
        <v>2382814.4359300002</v>
      </c>
      <c r="AD354" s="2">
        <f t="shared" si="27"/>
        <v>0.96177039489403404</v>
      </c>
      <c r="AE354">
        <f t="shared" si="28"/>
        <v>1</v>
      </c>
      <c r="AF354" s="1">
        <v>11371</v>
      </c>
      <c r="AG354" s="1">
        <v>1843729.54837</v>
      </c>
      <c r="AH354" s="1">
        <v>1071591.22731</v>
      </c>
      <c r="AI354" s="1">
        <v>101610.30250000001</v>
      </c>
      <c r="AJ354" s="1">
        <v>969980.92481</v>
      </c>
      <c r="AK354" s="1">
        <v>762691.48866999999</v>
      </c>
      <c r="AL354" s="1">
        <v>308899.73864</v>
      </c>
    </row>
    <row r="355" spans="1:38" x14ac:dyDescent="0.2">
      <c r="A355">
        <v>390</v>
      </c>
      <c r="B355" t="s">
        <v>251</v>
      </c>
      <c r="C355" t="s">
        <v>707</v>
      </c>
      <c r="D355" t="s">
        <v>1052</v>
      </c>
      <c r="E355" t="s">
        <v>1225</v>
      </c>
      <c r="F355" t="s">
        <v>1309</v>
      </c>
      <c r="G355" s="7">
        <v>500</v>
      </c>
      <c r="H355" t="str">
        <f t="shared" si="29"/>
        <v>Z</v>
      </c>
      <c r="I355" s="1">
        <v>1316682</v>
      </c>
      <c r="J355" s="1">
        <v>58694</v>
      </c>
      <c r="K355" s="1">
        <v>52230</v>
      </c>
      <c r="L355" s="1">
        <v>43140</v>
      </c>
      <c r="M355" s="1">
        <v>44772</v>
      </c>
      <c r="N355" s="1">
        <v>0</v>
      </c>
      <c r="O355" s="2">
        <f t="shared" si="25"/>
        <v>0</v>
      </c>
      <c r="P355">
        <f t="shared" si="26"/>
        <v>0</v>
      </c>
      <c r="Q355" s="1">
        <v>4080</v>
      </c>
      <c r="R355" s="1">
        <v>610836</v>
      </c>
      <c r="S355" s="1">
        <v>339743</v>
      </c>
      <c r="T355" s="1">
        <v>167454</v>
      </c>
      <c r="U355" s="1">
        <v>172289</v>
      </c>
      <c r="V355" s="1">
        <v>115093</v>
      </c>
      <c r="W355" s="1">
        <v>224650.4</v>
      </c>
      <c r="X355" s="1">
        <v>2976897.8</v>
      </c>
      <c r="Y355" s="1">
        <v>167022.39999999999</v>
      </c>
      <c r="Z355" s="1">
        <v>170085.2</v>
      </c>
      <c r="AA355" s="1">
        <v>131854.6</v>
      </c>
      <c r="AB355" s="1">
        <v>56104</v>
      </c>
      <c r="AC355" s="1">
        <v>0</v>
      </c>
      <c r="AD355" s="2">
        <f t="shared" si="27"/>
        <v>0</v>
      </c>
      <c r="AE355">
        <f t="shared" si="28"/>
        <v>0</v>
      </c>
      <c r="AF355" s="1">
        <v>8690</v>
      </c>
      <c r="AG355" s="1">
        <v>1468881</v>
      </c>
      <c r="AH355" s="1">
        <v>1324972</v>
      </c>
      <c r="AI355" s="1">
        <v>368592.7</v>
      </c>
      <c r="AJ355" s="1">
        <v>956379.3</v>
      </c>
      <c r="AK355" s="1">
        <v>655252</v>
      </c>
      <c r="AL355" s="1">
        <v>669720</v>
      </c>
    </row>
    <row r="356" spans="1:38" x14ac:dyDescent="0.2">
      <c r="A356">
        <v>391</v>
      </c>
      <c r="B356" t="s">
        <v>359</v>
      </c>
      <c r="C356" t="s">
        <v>816</v>
      </c>
      <c r="D356" t="s">
        <v>1085</v>
      </c>
      <c r="E356" t="s">
        <v>1235</v>
      </c>
      <c r="F356" t="s">
        <v>1294</v>
      </c>
      <c r="G356" s="7">
        <v>400</v>
      </c>
      <c r="H356" t="str">
        <f t="shared" si="29"/>
        <v>K</v>
      </c>
      <c r="I356" s="1">
        <v>1315477</v>
      </c>
      <c r="J356" s="1">
        <v>48663</v>
      </c>
      <c r="K356" s="1">
        <v>41621</v>
      </c>
      <c r="L356" s="1">
        <v>32679</v>
      </c>
      <c r="M356" s="1">
        <v>29874</v>
      </c>
      <c r="N356" s="1">
        <v>214103</v>
      </c>
      <c r="O356" s="2">
        <f t="shared" si="25"/>
        <v>0.16275693151609644</v>
      </c>
      <c r="P356">
        <f t="shared" si="26"/>
        <v>0</v>
      </c>
      <c r="Q356" s="1">
        <v>821</v>
      </c>
      <c r="R356" s="1">
        <v>90151.6</v>
      </c>
      <c r="S356" s="1">
        <v>741869</v>
      </c>
      <c r="T356" s="1">
        <v>323537</v>
      </c>
      <c r="U356" s="1">
        <v>418332</v>
      </c>
      <c r="V356" s="1">
        <v>327643</v>
      </c>
      <c r="W356" s="1">
        <v>392272</v>
      </c>
      <c r="X356" s="1">
        <v>2462963.5</v>
      </c>
      <c r="Y356" s="1">
        <v>23598</v>
      </c>
      <c r="Z356" s="1">
        <v>19626</v>
      </c>
      <c r="AA356" s="1">
        <v>13837</v>
      </c>
      <c r="AB356" s="1">
        <v>56399.5</v>
      </c>
      <c r="AC356" s="1">
        <v>649655.5</v>
      </c>
      <c r="AD356" s="2">
        <f t="shared" si="27"/>
        <v>0.26376984474191356</v>
      </c>
      <c r="AE356">
        <f t="shared" si="28"/>
        <v>0</v>
      </c>
      <c r="AF356" s="1">
        <v>1368</v>
      </c>
      <c r="AG356" s="1">
        <v>140593</v>
      </c>
      <c r="AH356" s="1">
        <v>1238656</v>
      </c>
      <c r="AI356" s="1">
        <v>563378</v>
      </c>
      <c r="AJ356" s="1">
        <v>675278</v>
      </c>
      <c r="AK356" s="1">
        <v>867168</v>
      </c>
      <c r="AL356" s="1">
        <v>367054</v>
      </c>
    </row>
    <row r="357" spans="1:38" x14ac:dyDescent="0.2">
      <c r="A357">
        <v>392</v>
      </c>
      <c r="B357" t="s">
        <v>297</v>
      </c>
      <c r="C357" t="s">
        <v>753</v>
      </c>
      <c r="D357" t="s">
        <v>41</v>
      </c>
      <c r="E357" t="s">
        <v>1207</v>
      </c>
      <c r="F357" t="s">
        <v>1308</v>
      </c>
      <c r="G357" s="7">
        <v>540</v>
      </c>
      <c r="H357" t="str">
        <f t="shared" si="29"/>
        <v>Z</v>
      </c>
      <c r="I357" s="1">
        <v>1313501</v>
      </c>
      <c r="J357" s="1">
        <v>143027</v>
      </c>
      <c r="K357" s="1">
        <v>163299</v>
      </c>
      <c r="L357" s="1">
        <v>132334</v>
      </c>
      <c r="M357" s="1">
        <v>79206</v>
      </c>
      <c r="N357" s="1">
        <v>68045</v>
      </c>
      <c r="O357" s="2">
        <f t="shared" si="25"/>
        <v>5.1804300110924927E-2</v>
      </c>
      <c r="P357">
        <f t="shared" si="26"/>
        <v>0</v>
      </c>
      <c r="Q357" s="1">
        <v>1033</v>
      </c>
      <c r="R357" s="1">
        <v>86476</v>
      </c>
      <c r="S357" s="1">
        <v>2160626</v>
      </c>
      <c r="T357" s="1">
        <v>808879</v>
      </c>
      <c r="U357" s="1">
        <v>1351747</v>
      </c>
      <c r="V357" s="1">
        <v>1791878</v>
      </c>
      <c r="W357" s="1">
        <v>368748</v>
      </c>
      <c r="X357" s="1">
        <v>2463397</v>
      </c>
      <c r="Y357" s="1">
        <v>287778</v>
      </c>
      <c r="Z357" s="1">
        <v>343817</v>
      </c>
      <c r="AA357" s="1">
        <v>277624</v>
      </c>
      <c r="AB357" s="1">
        <v>105301</v>
      </c>
      <c r="AC357" s="1">
        <v>176918</v>
      </c>
      <c r="AD357" s="2">
        <f t="shared" si="27"/>
        <v>7.1818712128008597E-2</v>
      </c>
      <c r="AE357">
        <f t="shared" si="28"/>
        <v>0</v>
      </c>
      <c r="AF357" s="1">
        <v>1023</v>
      </c>
      <c r="AG357" s="1">
        <v>128383</v>
      </c>
      <c r="AH357" s="1">
        <v>3218999</v>
      </c>
      <c r="AI357" s="1">
        <v>1196109</v>
      </c>
      <c r="AJ357" s="1">
        <v>2022890</v>
      </c>
      <c r="AK357" s="1">
        <v>2410535</v>
      </c>
      <c r="AL357" s="1">
        <v>808464</v>
      </c>
    </row>
    <row r="358" spans="1:38" x14ac:dyDescent="0.2">
      <c r="A358">
        <v>393</v>
      </c>
      <c r="B358" t="s">
        <v>371</v>
      </c>
      <c r="C358" t="s">
        <v>828</v>
      </c>
      <c r="D358" t="s">
        <v>39</v>
      </c>
      <c r="E358" t="s">
        <v>1157</v>
      </c>
      <c r="F358" t="s">
        <v>1308</v>
      </c>
      <c r="G358" s="7">
        <v>400</v>
      </c>
      <c r="H358" t="str">
        <f t="shared" si="29"/>
        <v>K</v>
      </c>
      <c r="I358" s="1">
        <v>1311626</v>
      </c>
      <c r="J358" s="1">
        <v>138279</v>
      </c>
      <c r="K358" s="1">
        <v>144719</v>
      </c>
      <c r="L358" s="1">
        <v>107552</v>
      </c>
      <c r="M358" s="1">
        <v>42231</v>
      </c>
      <c r="N358" s="1">
        <v>339430</v>
      </c>
      <c r="O358" s="2">
        <f t="shared" si="25"/>
        <v>0.2587856599365978</v>
      </c>
      <c r="P358">
        <f t="shared" si="26"/>
        <v>0</v>
      </c>
      <c r="Q358" s="1">
        <v>1125</v>
      </c>
      <c r="R358" s="1">
        <v>131231</v>
      </c>
      <c r="S358" s="1">
        <v>3138887</v>
      </c>
      <c r="T358" s="1">
        <v>2888315</v>
      </c>
      <c r="U358" s="1">
        <v>250572</v>
      </c>
      <c r="V358" s="1">
        <v>2340146</v>
      </c>
      <c r="W358" s="1">
        <v>798741</v>
      </c>
      <c r="X358" s="1">
        <v>1782670</v>
      </c>
      <c r="Y358" s="1">
        <v>43670</v>
      </c>
      <c r="Z358" s="1">
        <v>86324</v>
      </c>
      <c r="AA358" s="1">
        <v>80247</v>
      </c>
      <c r="AB358" s="1">
        <v>47179</v>
      </c>
      <c r="AC358" s="1">
        <v>678577</v>
      </c>
      <c r="AD358" s="2">
        <f t="shared" si="27"/>
        <v>0.3806520556244285</v>
      </c>
      <c r="AE358">
        <f t="shared" si="28"/>
        <v>0</v>
      </c>
      <c r="AF358" s="1">
        <v>1731</v>
      </c>
      <c r="AG358" s="1">
        <v>277996</v>
      </c>
      <c r="AH358" s="1">
        <v>3431561</v>
      </c>
      <c r="AI358" s="1">
        <v>3074268</v>
      </c>
      <c r="AJ358" s="1">
        <v>357293</v>
      </c>
      <c r="AK358" s="1">
        <v>2825117</v>
      </c>
      <c r="AL358" s="1">
        <v>606444</v>
      </c>
    </row>
    <row r="359" spans="1:38" x14ac:dyDescent="0.2">
      <c r="A359">
        <v>394</v>
      </c>
      <c r="B359" t="s">
        <v>312</v>
      </c>
      <c r="C359" t="s">
        <v>768</v>
      </c>
      <c r="D359" t="s">
        <v>1072</v>
      </c>
      <c r="E359" t="s">
        <v>1246</v>
      </c>
      <c r="F359" t="s">
        <v>1302</v>
      </c>
      <c r="G359" s="7">
        <v>450</v>
      </c>
      <c r="H359" t="str">
        <f t="shared" si="29"/>
        <v>K</v>
      </c>
      <c r="I359" s="1">
        <v>1313533</v>
      </c>
      <c r="J359" s="1">
        <v>116777</v>
      </c>
      <c r="K359" s="1">
        <v>101254</v>
      </c>
      <c r="L359" s="1">
        <v>81057</v>
      </c>
      <c r="M359" s="1">
        <v>84600</v>
      </c>
      <c r="N359" s="1">
        <v>0</v>
      </c>
      <c r="O359" s="2">
        <f t="shared" si="25"/>
        <v>0</v>
      </c>
      <c r="P359">
        <f t="shared" si="26"/>
        <v>0</v>
      </c>
      <c r="Q359" s="1">
        <v>582</v>
      </c>
      <c r="R359" s="1">
        <v>65885</v>
      </c>
      <c r="S359" s="1">
        <v>1778903</v>
      </c>
      <c r="T359" s="1">
        <v>1447114</v>
      </c>
      <c r="U359" s="1">
        <v>331789</v>
      </c>
      <c r="V359" s="1">
        <v>707610</v>
      </c>
      <c r="W359" s="1">
        <v>1071293.6061499999</v>
      </c>
      <c r="X359" s="1">
        <v>2321858.6293299999</v>
      </c>
      <c r="Y359" s="1">
        <v>156879</v>
      </c>
      <c r="Z359" s="1">
        <v>145799</v>
      </c>
      <c r="AA359" s="1">
        <v>117135</v>
      </c>
      <c r="AB359" s="1">
        <v>118876</v>
      </c>
      <c r="AC359" s="1">
        <v>0</v>
      </c>
      <c r="AD359" s="2">
        <f t="shared" si="27"/>
        <v>0</v>
      </c>
      <c r="AE359">
        <f t="shared" si="28"/>
        <v>0</v>
      </c>
      <c r="AF359" s="1">
        <v>601</v>
      </c>
      <c r="AG359" s="1">
        <v>88383</v>
      </c>
      <c r="AH359" s="1">
        <v>1723533</v>
      </c>
      <c r="AI359" s="1">
        <v>1138731</v>
      </c>
      <c r="AJ359" s="1">
        <v>584802</v>
      </c>
      <c r="AK359" s="1">
        <v>860642</v>
      </c>
      <c r="AL359" s="1">
        <v>862889.9</v>
      </c>
    </row>
    <row r="360" spans="1:38" x14ac:dyDescent="0.2">
      <c r="A360">
        <v>395</v>
      </c>
      <c r="B360" t="s">
        <v>468</v>
      </c>
      <c r="C360" t="s">
        <v>924</v>
      </c>
      <c r="D360" t="s">
        <v>1053</v>
      </c>
      <c r="E360" t="s">
        <v>1226</v>
      </c>
      <c r="F360" t="s">
        <v>1305</v>
      </c>
      <c r="G360" s="7">
        <v>500</v>
      </c>
      <c r="H360" t="str">
        <f t="shared" si="29"/>
        <v>Z</v>
      </c>
      <c r="I360" s="1">
        <v>1308353</v>
      </c>
      <c r="J360" s="1">
        <v>29373</v>
      </c>
      <c r="K360" s="1">
        <v>19207</v>
      </c>
      <c r="L360" s="1">
        <v>19327</v>
      </c>
      <c r="M360" s="1">
        <v>10457</v>
      </c>
      <c r="N360" s="1">
        <v>1074399</v>
      </c>
      <c r="O360" s="2">
        <f t="shared" si="25"/>
        <v>0.82118434398056184</v>
      </c>
      <c r="P360">
        <f t="shared" si="26"/>
        <v>1</v>
      </c>
      <c r="Q360" s="1">
        <v>957</v>
      </c>
      <c r="R360" s="1">
        <v>97454</v>
      </c>
      <c r="S360" s="1">
        <v>422338</v>
      </c>
      <c r="T360" s="1">
        <v>72986</v>
      </c>
      <c r="U360" s="1">
        <v>349352</v>
      </c>
      <c r="V360" s="1">
        <v>11497</v>
      </c>
      <c r="W360" s="1">
        <v>410841</v>
      </c>
      <c r="X360" s="1">
        <v>1043461</v>
      </c>
      <c r="Y360" s="1">
        <v>22182</v>
      </c>
      <c r="Z360" s="1">
        <v>32731</v>
      </c>
      <c r="AA360" s="1">
        <v>28460</v>
      </c>
      <c r="AB360" s="1">
        <v>7017</v>
      </c>
      <c r="AC360" s="1">
        <v>953749</v>
      </c>
      <c r="AD360" s="2">
        <f t="shared" si="27"/>
        <v>0.91402457782322477</v>
      </c>
      <c r="AE360">
        <f t="shared" si="28"/>
        <v>1</v>
      </c>
      <c r="AF360" s="1">
        <v>928</v>
      </c>
      <c r="AG360" s="1">
        <v>101610</v>
      </c>
      <c r="AH360" s="1">
        <v>363862</v>
      </c>
      <c r="AI360" s="1">
        <v>45427</v>
      </c>
      <c r="AJ360" s="1">
        <v>318435</v>
      </c>
      <c r="AK360" s="1">
        <v>22372</v>
      </c>
      <c r="AL360" s="1">
        <v>341490</v>
      </c>
    </row>
    <row r="361" spans="1:38" x14ac:dyDescent="0.2">
      <c r="A361">
        <v>396</v>
      </c>
      <c r="B361" t="s">
        <v>364</v>
      </c>
      <c r="C361" t="s">
        <v>821</v>
      </c>
      <c r="D361" t="s">
        <v>1010</v>
      </c>
      <c r="E361" t="s">
        <v>1172</v>
      </c>
      <c r="F361" t="s">
        <v>1306</v>
      </c>
      <c r="G361" s="7">
        <v>400</v>
      </c>
      <c r="H361" t="str">
        <f t="shared" si="29"/>
        <v>K</v>
      </c>
      <c r="I361" s="1">
        <v>1302963.845</v>
      </c>
      <c r="J361" s="1">
        <v>15527.159</v>
      </c>
      <c r="K361" s="1">
        <v>3882</v>
      </c>
      <c r="L361" s="1">
        <v>3195.0279999999998</v>
      </c>
      <c r="M361" s="1">
        <v>5206.2510000000002</v>
      </c>
      <c r="N361" s="1">
        <v>19712.208999999999</v>
      </c>
      <c r="O361" s="2">
        <f t="shared" si="25"/>
        <v>1.5128745955341531E-2</v>
      </c>
      <c r="P361">
        <f t="shared" si="26"/>
        <v>0</v>
      </c>
      <c r="Q361" s="1">
        <v>389</v>
      </c>
      <c r="R361" s="1">
        <v>31489</v>
      </c>
      <c r="S361" s="1">
        <v>413873</v>
      </c>
      <c r="T361" s="1">
        <v>163262</v>
      </c>
      <c r="U361" s="1">
        <v>250611</v>
      </c>
      <c r="V361" s="1">
        <v>104824.84699999999</v>
      </c>
      <c r="W361" s="1">
        <v>309048</v>
      </c>
      <c r="X361" s="1">
        <v>1829117</v>
      </c>
      <c r="Y361" s="1">
        <v>4704</v>
      </c>
      <c r="Z361" s="1">
        <v>-12617</v>
      </c>
      <c r="AA361" s="1">
        <v>-10581</v>
      </c>
      <c r="AB361" s="1">
        <v>9268</v>
      </c>
      <c r="AC361" s="1">
        <v>4446</v>
      </c>
      <c r="AD361" s="2">
        <f t="shared" si="27"/>
        <v>2.4306810335260128E-3</v>
      </c>
      <c r="AE361">
        <f t="shared" si="28"/>
        <v>0</v>
      </c>
      <c r="AF361" s="1">
        <v>375</v>
      </c>
      <c r="AG361" s="1">
        <v>47386</v>
      </c>
      <c r="AH361" s="1">
        <v>541806.65</v>
      </c>
      <c r="AI361" s="1">
        <v>183720.65</v>
      </c>
      <c r="AJ361" s="1">
        <v>358086</v>
      </c>
      <c r="AK361" s="1">
        <v>314654</v>
      </c>
      <c r="AL361" s="1">
        <v>227153</v>
      </c>
    </row>
    <row r="362" spans="1:38" x14ac:dyDescent="0.2">
      <c r="A362">
        <v>397</v>
      </c>
      <c r="B362" t="s">
        <v>503</v>
      </c>
      <c r="C362" t="s">
        <v>957</v>
      </c>
      <c r="D362" t="s">
        <v>1077</v>
      </c>
      <c r="E362" t="s">
        <v>1253</v>
      </c>
      <c r="F362" t="s">
        <v>1304</v>
      </c>
      <c r="G362" s="7">
        <v>400</v>
      </c>
      <c r="H362" t="str">
        <f t="shared" si="29"/>
        <v>K</v>
      </c>
      <c r="I362" s="1">
        <v>1301809</v>
      </c>
      <c r="J362" s="1">
        <v>62063</v>
      </c>
      <c r="K362" s="1">
        <v>62146</v>
      </c>
      <c r="L362" s="1">
        <v>49152</v>
      </c>
      <c r="M362" s="1">
        <v>16408</v>
      </c>
      <c r="N362" s="1">
        <v>386639</v>
      </c>
      <c r="O362" s="2">
        <f t="shared" si="25"/>
        <v>0.29700132661550199</v>
      </c>
      <c r="P362">
        <f t="shared" si="26"/>
        <v>0</v>
      </c>
      <c r="Q362" s="1">
        <v>855</v>
      </c>
      <c r="R362" s="1">
        <v>50030</v>
      </c>
      <c r="S362" s="1">
        <v>526181</v>
      </c>
      <c r="T362" s="1">
        <v>247801</v>
      </c>
      <c r="U362" s="1">
        <v>278380</v>
      </c>
      <c r="V362" s="1">
        <v>318774</v>
      </c>
      <c r="W362" s="1">
        <v>207407.52497999999</v>
      </c>
      <c r="X362" s="1">
        <v>1153341</v>
      </c>
      <c r="Y362" s="1">
        <v>56816</v>
      </c>
      <c r="Z362" s="1">
        <v>61978</v>
      </c>
      <c r="AA362" s="1">
        <v>49651</v>
      </c>
      <c r="AB362" s="1">
        <v>11414</v>
      </c>
      <c r="AC362" s="1">
        <v>484111</v>
      </c>
      <c r="AD362" s="2">
        <f t="shared" si="27"/>
        <v>0.41974663174204335</v>
      </c>
      <c r="AE362">
        <f t="shared" si="28"/>
        <v>0</v>
      </c>
      <c r="AF362" s="1">
        <v>336</v>
      </c>
      <c r="AG362" s="1">
        <v>36322</v>
      </c>
      <c r="AH362" s="1">
        <v>668736</v>
      </c>
      <c r="AI362" s="1">
        <v>424464</v>
      </c>
      <c r="AJ362" s="1">
        <v>244272</v>
      </c>
      <c r="AK362" s="1">
        <v>465057</v>
      </c>
      <c r="AL362" s="1">
        <v>203679</v>
      </c>
    </row>
    <row r="363" spans="1:38" x14ac:dyDescent="0.2">
      <c r="A363">
        <v>398</v>
      </c>
      <c r="B363" t="s">
        <v>504</v>
      </c>
      <c r="C363" t="s">
        <v>958</v>
      </c>
      <c r="D363" t="s">
        <v>982</v>
      </c>
      <c r="E363" t="s">
        <v>1298</v>
      </c>
      <c r="F363" t="s">
        <v>1300</v>
      </c>
      <c r="G363" s="7">
        <v>400</v>
      </c>
      <c r="H363" t="str">
        <f t="shared" si="29"/>
        <v>K</v>
      </c>
      <c r="I363" s="1">
        <v>1298158</v>
      </c>
      <c r="J363" s="1">
        <v>-84709</v>
      </c>
      <c r="K363" s="1">
        <v>-84889</v>
      </c>
      <c r="L363" s="1">
        <v>-84709</v>
      </c>
      <c r="M363" s="1">
        <v>2838</v>
      </c>
      <c r="N363" s="1">
        <v>0</v>
      </c>
      <c r="O363" s="2">
        <f t="shared" si="25"/>
        <v>0</v>
      </c>
      <c r="P363">
        <f t="shared" si="26"/>
        <v>0</v>
      </c>
      <c r="Q363" s="1">
        <v>31</v>
      </c>
      <c r="R363" s="1">
        <v>8432</v>
      </c>
      <c r="S363" s="1">
        <v>109696</v>
      </c>
      <c r="T363" s="1">
        <v>30663</v>
      </c>
      <c r="U363" s="1">
        <v>79033</v>
      </c>
      <c r="V363" s="1">
        <v>-75392</v>
      </c>
      <c r="W363" s="1">
        <v>185088</v>
      </c>
      <c r="X363" s="1">
        <v>129498</v>
      </c>
      <c r="Y363" s="1">
        <v>15023</v>
      </c>
      <c r="Z363" s="1">
        <v>-3086</v>
      </c>
      <c r="AA363" s="1">
        <v>-6849</v>
      </c>
      <c r="AB363" s="1">
        <v>1803</v>
      </c>
      <c r="AC363" s="1">
        <v>0</v>
      </c>
      <c r="AD363" s="2">
        <f t="shared" si="27"/>
        <v>0</v>
      </c>
      <c r="AE363">
        <f t="shared" si="28"/>
        <v>0</v>
      </c>
      <c r="AF363" s="1">
        <v>44</v>
      </c>
      <c r="AG363" s="1">
        <v>14257</v>
      </c>
      <c r="AH363" s="1">
        <v>126879</v>
      </c>
      <c r="AI363" s="1">
        <v>27081</v>
      </c>
      <c r="AJ363" s="1">
        <v>99798</v>
      </c>
      <c r="AK363" s="1">
        <v>-168999</v>
      </c>
      <c r="AL363" s="1">
        <v>295878</v>
      </c>
    </row>
    <row r="364" spans="1:38" x14ac:dyDescent="0.2">
      <c r="A364">
        <v>399</v>
      </c>
      <c r="B364" t="s">
        <v>447</v>
      </c>
      <c r="C364" t="s">
        <v>904</v>
      </c>
      <c r="D364" t="s">
        <v>991</v>
      </c>
      <c r="E364" t="s">
        <v>1151</v>
      </c>
      <c r="F364" t="s">
        <v>1309</v>
      </c>
      <c r="G364" s="7">
        <v>540</v>
      </c>
      <c r="H364" t="str">
        <f t="shared" si="29"/>
        <v>Z</v>
      </c>
      <c r="I364" s="1">
        <v>1177480</v>
      </c>
      <c r="J364" s="1">
        <v>52444</v>
      </c>
      <c r="K364" s="1">
        <v>42709</v>
      </c>
      <c r="L364" s="1">
        <v>29222</v>
      </c>
      <c r="M364" s="1">
        <v>322700</v>
      </c>
      <c r="N364" s="1">
        <v>0</v>
      </c>
      <c r="O364" s="2">
        <f t="shared" si="25"/>
        <v>0</v>
      </c>
      <c r="P364">
        <f t="shared" si="26"/>
        <v>0</v>
      </c>
      <c r="Q364" s="1">
        <v>1302</v>
      </c>
      <c r="R364" s="1">
        <v>17129</v>
      </c>
      <c r="S364" s="1">
        <v>2689311</v>
      </c>
      <c r="T364" s="1">
        <v>2452103</v>
      </c>
      <c r="U364" s="1">
        <v>237208</v>
      </c>
      <c r="V364" s="1">
        <v>1815598</v>
      </c>
      <c r="W364" s="1">
        <v>873713</v>
      </c>
      <c r="X364" s="1">
        <v>1308260</v>
      </c>
      <c r="Y364" s="1">
        <v>40912</v>
      </c>
      <c r="Z364" s="1">
        <v>-11029</v>
      </c>
      <c r="AA364" s="1">
        <v>6020</v>
      </c>
      <c r="AB364" s="1">
        <v>305094</v>
      </c>
      <c r="AC364" s="1">
        <v>0</v>
      </c>
      <c r="AD364" s="2">
        <f t="shared" si="27"/>
        <v>0</v>
      </c>
      <c r="AE364">
        <f t="shared" si="28"/>
        <v>0</v>
      </c>
      <c r="AF364" s="1">
        <v>1667</v>
      </c>
      <c r="AG364" s="1">
        <v>228184</v>
      </c>
      <c r="AH364" s="1">
        <v>3060665</v>
      </c>
      <c r="AI364" s="1">
        <v>2689404</v>
      </c>
      <c r="AJ364" s="1">
        <v>371261</v>
      </c>
      <c r="AK364" s="1">
        <v>1822993</v>
      </c>
      <c r="AL364" s="1">
        <v>1237673</v>
      </c>
    </row>
    <row r="365" spans="1:38" x14ac:dyDescent="0.2">
      <c r="A365">
        <v>401</v>
      </c>
      <c r="B365" t="s">
        <v>118</v>
      </c>
      <c r="C365" t="s">
        <v>574</v>
      </c>
      <c r="D365" t="s">
        <v>980</v>
      </c>
      <c r="E365" t="s">
        <v>1137</v>
      </c>
      <c r="F365" t="s">
        <v>1308</v>
      </c>
      <c r="G365" s="7">
        <v>500</v>
      </c>
      <c r="H365" t="str">
        <f t="shared" si="29"/>
        <v>Z</v>
      </c>
      <c r="I365" s="1">
        <v>6642600</v>
      </c>
      <c r="J365" s="1">
        <v>65174</v>
      </c>
      <c r="K365" s="1">
        <v>65393</v>
      </c>
      <c r="L365" s="1">
        <v>55807</v>
      </c>
      <c r="M365" s="1">
        <v>4147</v>
      </c>
      <c r="N365" s="1">
        <v>136836</v>
      </c>
      <c r="O365" s="2">
        <f t="shared" si="25"/>
        <v>2.059976515219944E-2</v>
      </c>
      <c r="P365">
        <f t="shared" si="26"/>
        <v>0</v>
      </c>
      <c r="Q365" s="1">
        <v>969</v>
      </c>
      <c r="R365" s="1">
        <v>144121</v>
      </c>
      <c r="S365" s="1">
        <v>657947</v>
      </c>
      <c r="T365" s="1">
        <v>47165</v>
      </c>
      <c r="U365" s="1">
        <v>610782</v>
      </c>
      <c r="V365" s="1">
        <v>190917</v>
      </c>
      <c r="W365" s="1">
        <v>467030</v>
      </c>
      <c r="X365" s="1">
        <v>9141914</v>
      </c>
      <c r="Y365" s="1">
        <v>20291</v>
      </c>
      <c r="Z365" s="1">
        <v>31383</v>
      </c>
      <c r="AA365" s="1">
        <v>21057</v>
      </c>
      <c r="AB365" s="1">
        <v>6301</v>
      </c>
      <c r="AC365" s="1"/>
      <c r="AD365" s="2">
        <f t="shared" si="27"/>
        <v>0</v>
      </c>
      <c r="AE365">
        <f t="shared" si="28"/>
        <v>0</v>
      </c>
      <c r="AF365" s="1"/>
      <c r="AG365" s="1">
        <v>122922</v>
      </c>
      <c r="AH365" s="1">
        <v>1405915</v>
      </c>
      <c r="AI365" s="1">
        <v>92952</v>
      </c>
      <c r="AJ365" s="1">
        <v>1312963</v>
      </c>
      <c r="AK365" s="1">
        <v>161996</v>
      </c>
      <c r="AL365" s="1">
        <v>1243919</v>
      </c>
    </row>
    <row r="366" spans="1:38" x14ac:dyDescent="0.2">
      <c r="A366">
        <v>402</v>
      </c>
      <c r="B366" t="s">
        <v>423</v>
      </c>
      <c r="C366" t="s">
        <v>880</v>
      </c>
      <c r="D366" t="s">
        <v>1010</v>
      </c>
      <c r="E366" t="s">
        <v>1274</v>
      </c>
      <c r="F366" t="s">
        <v>1305</v>
      </c>
      <c r="G366" s="7">
        <v>500</v>
      </c>
      <c r="H366" t="str">
        <f t="shared" si="29"/>
        <v>Z</v>
      </c>
      <c r="I366" s="1">
        <v>1296513</v>
      </c>
      <c r="J366" s="1">
        <v>26572</v>
      </c>
      <c r="K366" s="1">
        <v>24002</v>
      </c>
      <c r="L366" s="1">
        <v>15218</v>
      </c>
      <c r="M366" s="1">
        <v>2439</v>
      </c>
      <c r="N366" s="1">
        <v>247788</v>
      </c>
      <c r="O366" s="2">
        <f t="shared" si="25"/>
        <v>0.19111879325544751</v>
      </c>
      <c r="P366">
        <f t="shared" si="26"/>
        <v>0</v>
      </c>
      <c r="Q366" s="1">
        <v>112</v>
      </c>
      <c r="R366" s="1">
        <v>25262</v>
      </c>
      <c r="S366" s="1">
        <v>372999</v>
      </c>
      <c r="T366" s="1">
        <v>15435</v>
      </c>
      <c r="U366" s="1">
        <v>357564</v>
      </c>
      <c r="V366" s="1">
        <v>181320</v>
      </c>
      <c r="W366" s="1">
        <v>191679</v>
      </c>
      <c r="X366" s="1">
        <v>1484282</v>
      </c>
      <c r="Y366" s="1">
        <v>34607</v>
      </c>
      <c r="Z366" s="1">
        <v>33930</v>
      </c>
      <c r="AA366" s="1">
        <v>26850</v>
      </c>
      <c r="AB366" s="1">
        <v>502</v>
      </c>
      <c r="AC366" s="1">
        <v>309642</v>
      </c>
      <c r="AD366" s="2">
        <f t="shared" si="27"/>
        <v>0.20861399653165638</v>
      </c>
      <c r="AE366">
        <f t="shared" si="28"/>
        <v>0</v>
      </c>
      <c r="AF366" s="1">
        <v>127</v>
      </c>
      <c r="AG366" s="1">
        <v>38756</v>
      </c>
      <c r="AH366" s="1">
        <v>475700</v>
      </c>
      <c r="AI366" s="1">
        <v>17535</v>
      </c>
      <c r="AJ366" s="1">
        <v>458165</v>
      </c>
      <c r="AK366" s="1">
        <v>290133</v>
      </c>
      <c r="AL366" s="1">
        <v>185567</v>
      </c>
    </row>
    <row r="367" spans="1:38" x14ac:dyDescent="0.2">
      <c r="A367">
        <v>403</v>
      </c>
      <c r="B367" t="s">
        <v>436</v>
      </c>
      <c r="C367" t="s">
        <v>893</v>
      </c>
      <c r="D367" t="s">
        <v>1097</v>
      </c>
      <c r="E367" t="s">
        <v>1273</v>
      </c>
      <c r="F367" t="s">
        <v>1306</v>
      </c>
      <c r="G367" s="7">
        <v>400</v>
      </c>
      <c r="H367" t="str">
        <f t="shared" si="29"/>
        <v>K</v>
      </c>
      <c r="I367" s="1">
        <v>1294434</v>
      </c>
      <c r="J367" s="1">
        <v>79913</v>
      </c>
      <c r="K367" s="1">
        <v>91095</v>
      </c>
      <c r="L367" s="1">
        <v>91095</v>
      </c>
      <c r="M367" s="1">
        <v>30956</v>
      </c>
      <c r="N367" s="1">
        <v>840933</v>
      </c>
      <c r="O367" s="2">
        <f t="shared" si="25"/>
        <v>0.64965305299459064</v>
      </c>
      <c r="P367">
        <f t="shared" si="26"/>
        <v>1</v>
      </c>
      <c r="Q367" s="1">
        <v>3510</v>
      </c>
      <c r="R367" s="1">
        <v>207413</v>
      </c>
      <c r="S367" s="1">
        <v>742415</v>
      </c>
      <c r="T367" s="1">
        <v>489788</v>
      </c>
      <c r="U367" s="1">
        <v>252627</v>
      </c>
      <c r="V367" s="1">
        <v>531676</v>
      </c>
      <c r="W367" s="1">
        <v>210739.99914999999</v>
      </c>
      <c r="X367" s="1">
        <v>1391659.1705400001</v>
      </c>
      <c r="Y367" s="1">
        <v>161009.36126000001</v>
      </c>
      <c r="Z367" s="1">
        <v>163242.57539000001</v>
      </c>
      <c r="AA367" s="1">
        <v>131280.81155000001</v>
      </c>
      <c r="AB367" s="1">
        <v>23339.159790000002</v>
      </c>
      <c r="AC367" s="1">
        <v>988229</v>
      </c>
      <c r="AD367" s="2">
        <f t="shared" si="27"/>
        <v>0.71010849561429712</v>
      </c>
      <c r="AE367">
        <f t="shared" si="28"/>
        <v>1</v>
      </c>
      <c r="AF367" s="1">
        <v>2615</v>
      </c>
      <c r="AG367" s="1">
        <v>229116.91819</v>
      </c>
      <c r="AH367" s="1">
        <v>893853.03339</v>
      </c>
      <c r="AI367" s="1">
        <v>346755.37608999998</v>
      </c>
      <c r="AJ367" s="1">
        <v>547097.65729999996</v>
      </c>
      <c r="AK367" s="1">
        <v>734218.66587000003</v>
      </c>
      <c r="AL367" s="1">
        <v>159634.36752</v>
      </c>
    </row>
    <row r="368" spans="1:38" x14ac:dyDescent="0.2">
      <c r="A368">
        <v>404</v>
      </c>
      <c r="B368" t="s">
        <v>418</v>
      </c>
      <c r="C368" t="s">
        <v>875</v>
      </c>
      <c r="D368" t="s">
        <v>1036</v>
      </c>
      <c r="E368" t="s">
        <v>1210</v>
      </c>
      <c r="F368" t="s">
        <v>1305</v>
      </c>
      <c r="G368" s="7">
        <v>500</v>
      </c>
      <c r="H368" t="str">
        <f t="shared" si="29"/>
        <v>Z</v>
      </c>
      <c r="I368" s="1">
        <v>1292473.86463</v>
      </c>
      <c r="J368" s="1">
        <v>86193.033960000001</v>
      </c>
      <c r="K368" s="1">
        <v>82529</v>
      </c>
      <c r="L368" s="1">
        <v>82528.64241</v>
      </c>
      <c r="M368" s="1">
        <v>66625.995719999992</v>
      </c>
      <c r="N368" s="1">
        <v>1075328.14539</v>
      </c>
      <c r="O368" s="2">
        <f t="shared" si="25"/>
        <v>0.83199217780534163</v>
      </c>
      <c r="P368">
        <f t="shared" si="26"/>
        <v>1</v>
      </c>
      <c r="Q368" s="1">
        <v>1551.97</v>
      </c>
      <c r="R368" s="1">
        <v>130065.7797</v>
      </c>
      <c r="S368" s="1">
        <v>712946</v>
      </c>
      <c r="T368" s="1">
        <v>404739</v>
      </c>
      <c r="U368" s="1">
        <v>308207</v>
      </c>
      <c r="V368" s="1">
        <v>371472.72557999991</v>
      </c>
      <c r="W368" s="1">
        <v>341473.23775999999</v>
      </c>
      <c r="X368" s="1">
        <v>1528919</v>
      </c>
      <c r="Y368" s="1">
        <v>52160.69427</v>
      </c>
      <c r="Z368" s="1">
        <v>44398.951860000001</v>
      </c>
      <c r="AA368" s="1">
        <v>44398.951860000001</v>
      </c>
      <c r="AB368" s="1">
        <v>59561.866090000003</v>
      </c>
      <c r="AC368" s="1">
        <v>1296604</v>
      </c>
      <c r="AD368" s="2">
        <f t="shared" si="27"/>
        <v>0.848052774542013</v>
      </c>
      <c r="AE368">
        <f t="shared" si="28"/>
        <v>1</v>
      </c>
      <c r="AF368" s="1">
        <v>1480</v>
      </c>
      <c r="AG368" s="1">
        <v>182401.02814000001</v>
      </c>
      <c r="AH368" s="1">
        <v>722628.29651999997</v>
      </c>
      <c r="AI368" s="1">
        <v>437158.62667999999</v>
      </c>
      <c r="AJ368" s="1">
        <v>285469.66983999999</v>
      </c>
      <c r="AK368" s="1">
        <v>454234.18997000001</v>
      </c>
      <c r="AL368" s="1">
        <v>268394.10655000003</v>
      </c>
    </row>
    <row r="369" spans="1:38" x14ac:dyDescent="0.2">
      <c r="A369">
        <v>405</v>
      </c>
      <c r="B369" t="s">
        <v>333</v>
      </c>
      <c r="C369" t="s">
        <v>790</v>
      </c>
      <c r="D369" t="s">
        <v>1019</v>
      </c>
      <c r="E369" t="s">
        <v>1185</v>
      </c>
      <c r="F369" t="s">
        <v>1307</v>
      </c>
      <c r="G369" s="7">
        <v>400</v>
      </c>
      <c r="H369" t="str">
        <f t="shared" si="29"/>
        <v>K</v>
      </c>
      <c r="I369" s="1">
        <v>1287267</v>
      </c>
      <c r="J369" s="1">
        <v>225500</v>
      </c>
      <c r="K369" s="1">
        <v>196141</v>
      </c>
      <c r="L369" s="1">
        <v>144703</v>
      </c>
      <c r="M369" s="1">
        <v>71598</v>
      </c>
      <c r="N369" s="1">
        <v>269589</v>
      </c>
      <c r="O369" s="2">
        <f t="shared" si="25"/>
        <v>0.20942741482536256</v>
      </c>
      <c r="P369">
        <f t="shared" si="26"/>
        <v>0</v>
      </c>
      <c r="Q369" s="1">
        <v>2019</v>
      </c>
      <c r="R369" s="1">
        <v>274937</v>
      </c>
      <c r="S369" s="1">
        <v>1867370</v>
      </c>
      <c r="T369" s="1">
        <v>715455</v>
      </c>
      <c r="U369" s="1">
        <v>1151915</v>
      </c>
      <c r="V369" s="1">
        <v>1458624</v>
      </c>
      <c r="W369" s="1">
        <v>251461</v>
      </c>
      <c r="X369" s="1">
        <v>2251000</v>
      </c>
      <c r="Y369" s="1">
        <v>414426</v>
      </c>
      <c r="Z369" s="1">
        <v>426566</v>
      </c>
      <c r="AA369" s="1">
        <v>362215</v>
      </c>
      <c r="AB369" s="1">
        <v>104098</v>
      </c>
      <c r="AC369" s="1">
        <v>964000</v>
      </c>
      <c r="AD369" s="2">
        <f t="shared" si="27"/>
        <v>0.42825410928476232</v>
      </c>
      <c r="AE369">
        <f t="shared" si="28"/>
        <v>0</v>
      </c>
      <c r="AF369" s="1">
        <v>2773</v>
      </c>
      <c r="AG369" s="1">
        <v>510192</v>
      </c>
      <c r="AH369" s="1">
        <v>3043181</v>
      </c>
      <c r="AI369" s="1">
        <v>1281522</v>
      </c>
      <c r="AJ369" s="1">
        <v>1761659</v>
      </c>
      <c r="AK369" s="1">
        <v>2475113</v>
      </c>
      <c r="AL369" s="1">
        <v>568068</v>
      </c>
    </row>
    <row r="370" spans="1:38" x14ac:dyDescent="0.2">
      <c r="A370">
        <v>406</v>
      </c>
      <c r="B370" t="s">
        <v>354</v>
      </c>
      <c r="C370" t="s">
        <v>811</v>
      </c>
      <c r="D370" t="s">
        <v>45</v>
      </c>
      <c r="E370" t="s">
        <v>1258</v>
      </c>
      <c r="F370" t="s">
        <v>1308</v>
      </c>
      <c r="G370" s="7">
        <v>500</v>
      </c>
      <c r="H370" t="str">
        <f t="shared" si="29"/>
        <v>Z</v>
      </c>
      <c r="I370" s="1">
        <v>1287739</v>
      </c>
      <c r="J370" s="1">
        <v>34900</v>
      </c>
      <c r="K370" s="1">
        <v>36005</v>
      </c>
      <c r="L370" s="1">
        <v>29991</v>
      </c>
      <c r="M370" s="1">
        <v>10755</v>
      </c>
      <c r="N370" s="1">
        <v>77974</v>
      </c>
      <c r="O370" s="2">
        <f t="shared" si="25"/>
        <v>6.0551089933596793E-2</v>
      </c>
      <c r="P370">
        <f t="shared" si="26"/>
        <v>0</v>
      </c>
      <c r="Q370" s="1">
        <v>386</v>
      </c>
      <c r="R370" s="1">
        <v>67493</v>
      </c>
      <c r="S370" s="1">
        <v>579849</v>
      </c>
      <c r="T370" s="1">
        <v>280249</v>
      </c>
      <c r="U370" s="1">
        <v>299600</v>
      </c>
      <c r="V370" s="1">
        <v>265965</v>
      </c>
      <c r="W370" s="1">
        <v>313884</v>
      </c>
      <c r="X370" s="1">
        <v>1990888</v>
      </c>
      <c r="Y370" s="1">
        <v>68142</v>
      </c>
      <c r="Z370" s="1">
        <v>59494</v>
      </c>
      <c r="AA370" s="1">
        <v>42011</v>
      </c>
      <c r="AB370" s="1">
        <v>14288</v>
      </c>
      <c r="AC370" s="1">
        <v>137457</v>
      </c>
      <c r="AD370" s="2">
        <f t="shared" si="27"/>
        <v>6.9043060182190058E-2</v>
      </c>
      <c r="AE370">
        <f t="shared" si="28"/>
        <v>0</v>
      </c>
      <c r="AF370" s="1">
        <v>429</v>
      </c>
      <c r="AG370" s="1">
        <v>92438</v>
      </c>
      <c r="AH370" s="1">
        <v>866204</v>
      </c>
      <c r="AI370" s="1">
        <v>270009</v>
      </c>
      <c r="AJ370" s="1">
        <v>596195</v>
      </c>
      <c r="AK370" s="1">
        <v>471518</v>
      </c>
      <c r="AL370" s="1">
        <v>394686</v>
      </c>
    </row>
    <row r="371" spans="1:38" x14ac:dyDescent="0.2">
      <c r="A371">
        <v>407</v>
      </c>
      <c r="B371" t="s">
        <v>422</v>
      </c>
      <c r="C371" t="s">
        <v>879</v>
      </c>
      <c r="D371" t="s">
        <v>969</v>
      </c>
      <c r="E371" t="s">
        <v>1126</v>
      </c>
      <c r="F371" t="s">
        <v>1304</v>
      </c>
      <c r="G371" s="7">
        <v>400</v>
      </c>
      <c r="H371" t="str">
        <f t="shared" si="29"/>
        <v>K</v>
      </c>
      <c r="I371" s="1">
        <v>1280009</v>
      </c>
      <c r="J371" s="1">
        <v>13563</v>
      </c>
      <c r="K371" s="1">
        <v>11378</v>
      </c>
      <c r="L371" s="1">
        <v>11378</v>
      </c>
      <c r="M371" s="1">
        <v>4599</v>
      </c>
      <c r="N371" s="1">
        <v>19445</v>
      </c>
      <c r="O371" s="2">
        <f t="shared" si="25"/>
        <v>1.5191299436175839E-2</v>
      </c>
      <c r="P371">
        <f t="shared" si="26"/>
        <v>0</v>
      </c>
      <c r="Q371" s="1">
        <v>228</v>
      </c>
      <c r="R371" s="1">
        <v>16490.56639</v>
      </c>
      <c r="S371" s="1">
        <v>196279.70254999999</v>
      </c>
      <c r="T371" s="1">
        <v>48585</v>
      </c>
      <c r="U371" s="1">
        <v>147694</v>
      </c>
      <c r="V371" s="1">
        <v>56131</v>
      </c>
      <c r="W371" s="1">
        <v>140148.69725</v>
      </c>
      <c r="X371" s="1">
        <v>1495311</v>
      </c>
      <c r="Y371" s="1">
        <v>22973</v>
      </c>
      <c r="Z371" s="1">
        <v>20428</v>
      </c>
      <c r="AA371" s="1">
        <v>20426</v>
      </c>
      <c r="AB371" s="1">
        <v>5384</v>
      </c>
      <c r="AC371" s="1">
        <v>0</v>
      </c>
      <c r="AD371" s="2">
        <f t="shared" si="27"/>
        <v>0</v>
      </c>
      <c r="AE371">
        <f t="shared" si="28"/>
        <v>0</v>
      </c>
      <c r="AF371" s="1">
        <v>284</v>
      </c>
      <c r="AG371" s="1">
        <v>24284</v>
      </c>
      <c r="AH371" s="1">
        <v>238735</v>
      </c>
      <c r="AI371" s="1">
        <v>58518</v>
      </c>
      <c r="AJ371" s="1">
        <v>180217</v>
      </c>
      <c r="AK371" s="1">
        <v>110326</v>
      </c>
      <c r="AL371" s="1">
        <v>128410</v>
      </c>
    </row>
    <row r="372" spans="1:38" x14ac:dyDescent="0.2">
      <c r="A372">
        <v>408</v>
      </c>
      <c r="B372" t="s">
        <v>435</v>
      </c>
      <c r="C372" t="s">
        <v>892</v>
      </c>
      <c r="D372" t="s">
        <v>999</v>
      </c>
      <c r="E372" t="s">
        <v>1159</v>
      </c>
      <c r="F372" t="s">
        <v>1306</v>
      </c>
      <c r="G372" s="7">
        <v>500</v>
      </c>
      <c r="H372" t="str">
        <f t="shared" si="29"/>
        <v>Z</v>
      </c>
      <c r="I372" s="1">
        <v>1275294</v>
      </c>
      <c r="J372" s="1">
        <v>20140</v>
      </c>
      <c r="K372" s="1">
        <v>21855</v>
      </c>
      <c r="L372" s="1">
        <v>21636</v>
      </c>
      <c r="M372" s="1">
        <v>27000</v>
      </c>
      <c r="N372" s="1">
        <v>986124</v>
      </c>
      <c r="O372" s="2">
        <f t="shared" si="25"/>
        <v>0.77325228535537682</v>
      </c>
      <c r="P372">
        <f t="shared" si="26"/>
        <v>1</v>
      </c>
      <c r="Q372" s="1">
        <v>993</v>
      </c>
      <c r="R372" s="1">
        <v>83429.69948000001</v>
      </c>
      <c r="S372" s="1">
        <v>850916</v>
      </c>
      <c r="T372" s="1">
        <v>382539</v>
      </c>
      <c r="U372" s="1">
        <v>468377</v>
      </c>
      <c r="V372" s="1">
        <v>270273</v>
      </c>
      <c r="W372" s="1">
        <v>580643.47074000002</v>
      </c>
      <c r="X372" s="1">
        <v>1401959.59831</v>
      </c>
      <c r="Y372" s="1">
        <v>47924.320509999998</v>
      </c>
      <c r="Z372" s="1">
        <v>18370.64244</v>
      </c>
      <c r="AA372" s="1">
        <v>18370.64244</v>
      </c>
      <c r="AB372" s="1">
        <v>38091.988090000013</v>
      </c>
      <c r="AC372" s="1">
        <v>1000102</v>
      </c>
      <c r="AD372" s="2">
        <f t="shared" si="27"/>
        <v>0.71336007200605389</v>
      </c>
      <c r="AE372">
        <f t="shared" si="28"/>
        <v>1</v>
      </c>
      <c r="AF372" s="1">
        <v>1028</v>
      </c>
      <c r="AG372" s="1">
        <v>120167.07004000001</v>
      </c>
      <c r="AH372" s="1">
        <v>995875.09886999999</v>
      </c>
      <c r="AI372" s="1">
        <v>409724.55268000002</v>
      </c>
      <c r="AJ372" s="1">
        <v>586150.54619000002</v>
      </c>
      <c r="AK372" s="1">
        <v>407724.96247000003</v>
      </c>
      <c r="AL372" s="1">
        <v>588150.13639999996</v>
      </c>
    </row>
    <row r="373" spans="1:38" x14ac:dyDescent="0.2">
      <c r="A373">
        <v>409</v>
      </c>
      <c r="B373" t="s">
        <v>505</v>
      </c>
      <c r="C373" t="s">
        <v>959</v>
      </c>
      <c r="D373" t="s">
        <v>1073</v>
      </c>
      <c r="E373" t="s">
        <v>1247</v>
      </c>
      <c r="F373" t="s">
        <v>1309</v>
      </c>
      <c r="G373" s="7">
        <v>400</v>
      </c>
      <c r="H373" t="str">
        <f t="shared" si="29"/>
        <v>K</v>
      </c>
      <c r="I373" s="1">
        <v>904540</v>
      </c>
      <c r="J373" s="1">
        <v>22000</v>
      </c>
      <c r="K373" s="1">
        <v>21125</v>
      </c>
      <c r="L373" s="1">
        <v>16617</v>
      </c>
      <c r="M373" s="1">
        <v>4322</v>
      </c>
      <c r="N373" s="1">
        <v>20651</v>
      </c>
      <c r="O373" s="2">
        <f t="shared" si="25"/>
        <v>2.2830388926968405E-2</v>
      </c>
      <c r="P373">
        <f t="shared" si="26"/>
        <v>0</v>
      </c>
      <c r="Q373" s="1">
        <v>259</v>
      </c>
      <c r="R373" s="1">
        <v>33844</v>
      </c>
      <c r="S373" s="1">
        <v>373100</v>
      </c>
      <c r="T373" s="1">
        <v>19556</v>
      </c>
      <c r="U373" s="1">
        <v>353544</v>
      </c>
      <c r="V373" s="1">
        <v>133612</v>
      </c>
      <c r="W373" s="1">
        <v>239487.61781</v>
      </c>
      <c r="X373" s="1">
        <v>0</v>
      </c>
      <c r="Y373" s="1">
        <v>-1155.36203</v>
      </c>
      <c r="Z373" s="1">
        <v>-1330.8968400000001</v>
      </c>
      <c r="AA373" s="1">
        <v>-1330.8968400000001</v>
      </c>
      <c r="AB373" s="1">
        <v>0</v>
      </c>
      <c r="AC373" s="1">
        <v>0</v>
      </c>
      <c r="AD373" s="2">
        <f t="shared" si="27"/>
        <v>0</v>
      </c>
      <c r="AE373">
        <f t="shared" si="28"/>
        <v>0</v>
      </c>
      <c r="AF373" s="1">
        <v>0</v>
      </c>
      <c r="AG373" s="1">
        <v>0</v>
      </c>
      <c r="AH373" s="1">
        <v>1377.2319399999999</v>
      </c>
      <c r="AI373" s="1">
        <v>0</v>
      </c>
      <c r="AJ373" s="1">
        <v>1377.2319399999999</v>
      </c>
      <c r="AK373" s="1">
        <v>378.74588</v>
      </c>
      <c r="AL373" s="1">
        <v>998.48605999999995</v>
      </c>
    </row>
    <row r="374" spans="1:38" x14ac:dyDescent="0.2">
      <c r="A374">
        <v>410</v>
      </c>
      <c r="B374" t="s">
        <v>471</v>
      </c>
      <c r="C374" t="s">
        <v>927</v>
      </c>
      <c r="D374" t="s">
        <v>39</v>
      </c>
      <c r="E374" t="s">
        <v>1157</v>
      </c>
      <c r="F374" t="s">
        <v>1308</v>
      </c>
      <c r="G374" s="7">
        <v>540</v>
      </c>
      <c r="H374" t="str">
        <f t="shared" si="29"/>
        <v>Z</v>
      </c>
      <c r="I374" s="1">
        <v>1270508</v>
      </c>
      <c r="J374" s="1">
        <v>5611</v>
      </c>
      <c r="K374" s="1">
        <v>5561</v>
      </c>
      <c r="L374" s="1">
        <v>3334</v>
      </c>
      <c r="M374" s="1">
        <v>571</v>
      </c>
      <c r="N374" s="1">
        <v>631144</v>
      </c>
      <c r="O374" s="2">
        <f t="shared" si="25"/>
        <v>0.49676507349815979</v>
      </c>
      <c r="P374">
        <f t="shared" si="26"/>
        <v>0</v>
      </c>
      <c r="Q374" s="1">
        <v>39</v>
      </c>
      <c r="R374" s="1">
        <v>10635</v>
      </c>
      <c r="S374" s="1">
        <v>182286</v>
      </c>
      <c r="T374" s="1">
        <v>2412</v>
      </c>
      <c r="U374" s="1">
        <v>179874</v>
      </c>
      <c r="V374" s="1">
        <v>48266</v>
      </c>
      <c r="W374" s="1">
        <v>134019.82405</v>
      </c>
      <c r="X374" s="1">
        <v>1038637</v>
      </c>
      <c r="Y374" s="1">
        <v>-16394</v>
      </c>
      <c r="Z374" s="1">
        <v>-24967</v>
      </c>
      <c r="AA374" s="1">
        <v>-24967</v>
      </c>
      <c r="AB374" s="1">
        <v>565</v>
      </c>
      <c r="AC374" s="1">
        <v>1038533.1363</v>
      </c>
      <c r="AD374" s="2">
        <f t="shared" si="27"/>
        <v>0.99990000000000001</v>
      </c>
      <c r="AE374">
        <f t="shared" si="28"/>
        <v>1</v>
      </c>
      <c r="AF374" s="1">
        <v>45</v>
      </c>
      <c r="AG374" s="1">
        <v>14246.9</v>
      </c>
      <c r="AH374" s="1">
        <v>114697</v>
      </c>
      <c r="AI374" s="1">
        <v>545</v>
      </c>
      <c r="AJ374" s="1">
        <v>114152</v>
      </c>
      <c r="AK374" s="1">
        <v>-9486.7999999999993</v>
      </c>
      <c r="AL374" s="1">
        <v>134184</v>
      </c>
    </row>
    <row r="375" spans="1:38" x14ac:dyDescent="0.2">
      <c r="A375">
        <v>411</v>
      </c>
      <c r="B375" t="s">
        <v>408</v>
      </c>
      <c r="C375" t="s">
        <v>865</v>
      </c>
      <c r="D375" t="s">
        <v>1041</v>
      </c>
      <c r="E375" t="s">
        <v>1214</v>
      </c>
      <c r="F375" t="s">
        <v>1294</v>
      </c>
      <c r="G375" s="7">
        <v>540</v>
      </c>
      <c r="H375" t="str">
        <f t="shared" si="29"/>
        <v>Z</v>
      </c>
      <c r="I375" s="1">
        <v>1269534</v>
      </c>
      <c r="J375" s="1">
        <v>10022</v>
      </c>
      <c r="K375" s="1">
        <v>8056</v>
      </c>
      <c r="L375" s="1">
        <v>-3</v>
      </c>
      <c r="M375" s="1">
        <v>14750</v>
      </c>
      <c r="N375" s="1">
        <v>8431</v>
      </c>
      <c r="O375" s="2">
        <f t="shared" si="25"/>
        <v>6.6410194606839994E-3</v>
      </c>
      <c r="P375">
        <f t="shared" si="26"/>
        <v>0</v>
      </c>
      <c r="Q375" s="1">
        <v>1458</v>
      </c>
      <c r="R375" s="1">
        <v>166727</v>
      </c>
      <c r="S375" s="1">
        <v>1035884</v>
      </c>
      <c r="T375" s="1">
        <v>112421</v>
      </c>
      <c r="U375" s="1">
        <v>923463</v>
      </c>
      <c r="V375" s="1">
        <v>49908</v>
      </c>
      <c r="W375" s="1">
        <v>985976</v>
      </c>
      <c r="X375" s="1">
        <v>1578631</v>
      </c>
      <c r="Y375" s="1">
        <v>-15587</v>
      </c>
      <c r="Z375" s="1">
        <v>-32289</v>
      </c>
      <c r="AA375" s="1">
        <v>-30389</v>
      </c>
      <c r="AB375" s="1">
        <v>84240</v>
      </c>
      <c r="AC375" s="1">
        <v>116717</v>
      </c>
      <c r="AD375" s="2">
        <f t="shared" si="27"/>
        <v>7.3935580892558167E-2</v>
      </c>
      <c r="AE375">
        <f t="shared" si="28"/>
        <v>0</v>
      </c>
      <c r="AF375" s="1">
        <v>1499</v>
      </c>
      <c r="AG375" s="1">
        <v>276491</v>
      </c>
      <c r="AH375" s="1">
        <v>1063469</v>
      </c>
      <c r="AI375" s="1">
        <v>286870</v>
      </c>
      <c r="AJ375" s="1">
        <v>776599</v>
      </c>
      <c r="AK375" s="1">
        <v>80069</v>
      </c>
      <c r="AL375" s="1">
        <v>983400</v>
      </c>
    </row>
    <row r="376" spans="1:38" x14ac:dyDescent="0.2">
      <c r="A376">
        <v>412</v>
      </c>
      <c r="B376" t="s">
        <v>441</v>
      </c>
      <c r="C376" t="s">
        <v>898</v>
      </c>
      <c r="D376" t="s">
        <v>976</v>
      </c>
      <c r="E376" t="s">
        <v>1280</v>
      </c>
      <c r="F376" t="s">
        <v>1304</v>
      </c>
      <c r="G376" s="7">
        <v>500</v>
      </c>
      <c r="H376" t="str">
        <f t="shared" si="29"/>
        <v>Z</v>
      </c>
      <c r="I376" s="1">
        <v>1268928</v>
      </c>
      <c r="J376" s="1">
        <v>47586</v>
      </c>
      <c r="K376" s="1">
        <v>43653</v>
      </c>
      <c r="L376" s="1">
        <v>34541</v>
      </c>
      <c r="M376" s="1">
        <v>5311</v>
      </c>
      <c r="N376" s="1">
        <v>0</v>
      </c>
      <c r="O376" s="2">
        <f t="shared" si="25"/>
        <v>0</v>
      </c>
      <c r="P376">
        <f t="shared" si="26"/>
        <v>0</v>
      </c>
      <c r="Q376" s="1">
        <v>185</v>
      </c>
      <c r="R376" s="1">
        <v>28541</v>
      </c>
      <c r="S376" s="1">
        <v>365200</v>
      </c>
      <c r="T376" s="1">
        <v>21595</v>
      </c>
      <c r="U376" s="1">
        <v>343605</v>
      </c>
      <c r="V376" s="1">
        <v>73071</v>
      </c>
      <c r="W376" s="1">
        <v>292129</v>
      </c>
      <c r="X376" s="1">
        <v>1351087</v>
      </c>
      <c r="Y376" s="1">
        <v>50871</v>
      </c>
      <c r="Z376" s="1">
        <v>49439</v>
      </c>
      <c r="AA376" s="1">
        <v>39920</v>
      </c>
      <c r="AB376" s="1">
        <v>6756</v>
      </c>
      <c r="AC376" s="1">
        <v>0</v>
      </c>
      <c r="AD376" s="2">
        <f t="shared" si="27"/>
        <v>0</v>
      </c>
      <c r="AE376">
        <f t="shared" si="28"/>
        <v>0</v>
      </c>
      <c r="AF376" s="1">
        <v>278</v>
      </c>
      <c r="AG376" s="1">
        <v>13473</v>
      </c>
      <c r="AH376" s="1">
        <v>318266</v>
      </c>
      <c r="AI376" s="1">
        <v>33429</v>
      </c>
      <c r="AJ376" s="1">
        <v>284837</v>
      </c>
      <c r="AK376" s="1">
        <v>225514</v>
      </c>
      <c r="AL376" s="1">
        <v>92752</v>
      </c>
    </row>
    <row r="377" spans="1:38" x14ac:dyDescent="0.2">
      <c r="A377">
        <v>413</v>
      </c>
      <c r="B377" t="s">
        <v>255</v>
      </c>
      <c r="C377" t="s">
        <v>711</v>
      </c>
      <c r="D377" t="s">
        <v>1055</v>
      </c>
      <c r="E377" t="s">
        <v>1228</v>
      </c>
      <c r="F377" t="s">
        <v>1220</v>
      </c>
      <c r="G377" s="7">
        <v>450</v>
      </c>
      <c r="H377" t="str">
        <f t="shared" si="29"/>
        <v>K</v>
      </c>
      <c r="I377" s="1">
        <v>1272857</v>
      </c>
      <c r="J377" s="1">
        <v>440339</v>
      </c>
      <c r="K377" s="1">
        <v>314210</v>
      </c>
      <c r="L377" s="1">
        <v>277057</v>
      </c>
      <c r="M377" s="1">
        <v>44043</v>
      </c>
      <c r="N377" s="1">
        <v>662419.96352657594</v>
      </c>
      <c r="O377" s="2">
        <f t="shared" si="25"/>
        <v>0.52041978284015877</v>
      </c>
      <c r="P377">
        <f t="shared" si="26"/>
        <v>1</v>
      </c>
      <c r="Q377" s="1">
        <v>3262.66</v>
      </c>
      <c r="R377" s="1">
        <v>401041</v>
      </c>
      <c r="S377" s="1">
        <v>4839914</v>
      </c>
      <c r="T377" s="1"/>
      <c r="U377" s="1"/>
      <c r="V377" s="1">
        <v>1958426</v>
      </c>
      <c r="W377" s="1">
        <v>2880821</v>
      </c>
      <c r="X377" s="1">
        <v>2907553</v>
      </c>
      <c r="Y377" s="1">
        <v>1412434</v>
      </c>
      <c r="Z377" s="1">
        <v>1010405</v>
      </c>
      <c r="AA377" s="1">
        <v>1074278</v>
      </c>
      <c r="AB377" s="1">
        <v>62497</v>
      </c>
      <c r="AC377" s="1">
        <v>1489032</v>
      </c>
      <c r="AD377" s="2">
        <f t="shared" si="27"/>
        <v>0.51212548834019533</v>
      </c>
      <c r="AE377">
        <f t="shared" si="28"/>
        <v>1</v>
      </c>
      <c r="AF377" s="1">
        <v>3567</v>
      </c>
      <c r="AG377" s="1">
        <v>580709</v>
      </c>
      <c r="AH377" s="1">
        <v>11648879</v>
      </c>
      <c r="AI377" s="1">
        <v>8050679</v>
      </c>
      <c r="AJ377" s="1">
        <v>3598200</v>
      </c>
      <c r="AK377" s="1">
        <v>4528657</v>
      </c>
      <c r="AL377" s="1">
        <v>7120222</v>
      </c>
    </row>
    <row r="378" spans="1:38" x14ac:dyDescent="0.2">
      <c r="A378">
        <v>414</v>
      </c>
      <c r="B378" t="s">
        <v>229</v>
      </c>
      <c r="C378" t="s">
        <v>685</v>
      </c>
      <c r="D378" t="s">
        <v>42</v>
      </c>
      <c r="E378" t="s">
        <v>1216</v>
      </c>
      <c r="F378" t="s">
        <v>1308</v>
      </c>
      <c r="G378" s="7">
        <v>500</v>
      </c>
      <c r="H378" t="str">
        <f t="shared" si="29"/>
        <v>Z</v>
      </c>
      <c r="I378" s="1">
        <v>1259233</v>
      </c>
      <c r="J378" s="1">
        <v>48126</v>
      </c>
      <c r="K378" s="1">
        <v>48243</v>
      </c>
      <c r="L378" s="1">
        <v>46355</v>
      </c>
      <c r="M378" s="1">
        <v>20112</v>
      </c>
      <c r="N378" s="1">
        <v>26572</v>
      </c>
      <c r="O378" s="2">
        <f t="shared" si="25"/>
        <v>2.1101734150868027E-2</v>
      </c>
      <c r="P378">
        <f t="shared" si="26"/>
        <v>0</v>
      </c>
      <c r="Q378" s="1">
        <v>202</v>
      </c>
      <c r="R378" s="1">
        <v>20376</v>
      </c>
      <c r="S378" s="1">
        <v>618332</v>
      </c>
      <c r="T378" s="1">
        <v>324873</v>
      </c>
      <c r="U378" s="1">
        <v>293459</v>
      </c>
      <c r="V378" s="1">
        <v>416190</v>
      </c>
      <c r="W378" s="1">
        <v>202142</v>
      </c>
      <c r="X378" s="1">
        <v>3220078</v>
      </c>
      <c r="Y378" s="1">
        <v>91558</v>
      </c>
      <c r="Z378" s="1">
        <v>98775</v>
      </c>
      <c r="AA378" s="1">
        <v>94155</v>
      </c>
      <c r="AB378" s="1">
        <v>29100</v>
      </c>
      <c r="AC378" s="1">
        <v>3701</v>
      </c>
      <c r="AD378" s="2">
        <f t="shared" si="27"/>
        <v>1.1493510405648558E-3</v>
      </c>
      <c r="AE378">
        <f t="shared" si="28"/>
        <v>0</v>
      </c>
      <c r="AF378" s="1">
        <v>228</v>
      </c>
      <c r="AG378" s="1">
        <v>35238</v>
      </c>
      <c r="AH378" s="1">
        <v>1415064</v>
      </c>
      <c r="AI378" s="1">
        <v>395895</v>
      </c>
      <c r="AJ378" s="1">
        <v>1019169</v>
      </c>
      <c r="AK378" s="1">
        <v>743175</v>
      </c>
      <c r="AL378" s="1">
        <v>671889</v>
      </c>
    </row>
    <row r="379" spans="1:38" x14ac:dyDescent="0.2">
      <c r="A379">
        <v>415</v>
      </c>
      <c r="B379" t="s">
        <v>327</v>
      </c>
      <c r="C379" t="s">
        <v>784</v>
      </c>
      <c r="D379" t="s">
        <v>974</v>
      </c>
      <c r="E379" t="s">
        <v>1131</v>
      </c>
      <c r="F379" t="s">
        <v>1305</v>
      </c>
      <c r="G379" s="7">
        <v>500</v>
      </c>
      <c r="H379" t="str">
        <f t="shared" si="29"/>
        <v>Z</v>
      </c>
      <c r="I379" s="1">
        <v>1252371</v>
      </c>
      <c r="J379" s="1">
        <v>31830</v>
      </c>
      <c r="K379" s="1">
        <v>22053</v>
      </c>
      <c r="L379" s="1">
        <v>16543</v>
      </c>
      <c r="M379" s="1">
        <v>42818</v>
      </c>
      <c r="N379" s="1">
        <v>109678</v>
      </c>
      <c r="O379" s="2">
        <f t="shared" si="25"/>
        <v>8.7576285302039092E-2</v>
      </c>
      <c r="P379">
        <f t="shared" si="26"/>
        <v>0</v>
      </c>
      <c r="Q379" s="1">
        <v>61</v>
      </c>
      <c r="R379" s="1">
        <v>11136.92772</v>
      </c>
      <c r="S379" s="1">
        <v>527040</v>
      </c>
      <c r="T379" s="1">
        <v>178455</v>
      </c>
      <c r="U379" s="1">
        <v>348585</v>
      </c>
      <c r="V379" s="1">
        <v>88169</v>
      </c>
      <c r="W379" s="1">
        <v>438870.6667900001</v>
      </c>
      <c r="X379" s="1">
        <v>2228732.2939399998</v>
      </c>
      <c r="Y379" s="1">
        <v>37546.541400000002</v>
      </c>
      <c r="Z379" s="1">
        <v>32054.935969999999</v>
      </c>
      <c r="AA379" s="1">
        <v>24678.350930000001</v>
      </c>
      <c r="AB379" s="1">
        <v>16526.259249999999</v>
      </c>
      <c r="AC379" s="1">
        <v>266404</v>
      </c>
      <c r="AD379" s="2">
        <f t="shared" si="27"/>
        <v>0.11953162823743421</v>
      </c>
      <c r="AE379">
        <f t="shared" si="28"/>
        <v>0</v>
      </c>
      <c r="AF379" s="1">
        <v>79</v>
      </c>
      <c r="AG379" s="1">
        <v>22953.360140000001</v>
      </c>
      <c r="AH379" s="1">
        <v>978704.38619999995</v>
      </c>
      <c r="AI379" s="1">
        <v>90271.791010000001</v>
      </c>
      <c r="AJ379" s="1">
        <v>888432.59519000002</v>
      </c>
      <c r="AK379" s="1">
        <v>217440.22751</v>
      </c>
      <c r="AL379" s="1">
        <v>761264.15869000007</v>
      </c>
    </row>
    <row r="380" spans="1:38" x14ac:dyDescent="0.2">
      <c r="A380">
        <v>416</v>
      </c>
      <c r="B380" t="s">
        <v>424</v>
      </c>
      <c r="C380" t="s">
        <v>881</v>
      </c>
      <c r="D380" t="s">
        <v>1098</v>
      </c>
      <c r="E380" t="s">
        <v>1275</v>
      </c>
      <c r="F380" t="s">
        <v>1309</v>
      </c>
      <c r="G380" s="7">
        <v>450</v>
      </c>
      <c r="H380" t="str">
        <f t="shared" si="29"/>
        <v>K</v>
      </c>
      <c r="I380" s="1">
        <v>1249663</v>
      </c>
      <c r="J380" s="1">
        <v>24678</v>
      </c>
      <c r="K380" s="1">
        <v>14074</v>
      </c>
      <c r="L380" s="1">
        <v>6006</v>
      </c>
      <c r="M380" s="1">
        <v>158037</v>
      </c>
      <c r="N380" s="1">
        <v>162857</v>
      </c>
      <c r="O380" s="2">
        <f t="shared" si="25"/>
        <v>0.13032073447001311</v>
      </c>
      <c r="P380">
        <f t="shared" si="26"/>
        <v>0</v>
      </c>
      <c r="Q380" s="1">
        <v>2578.6458333333339</v>
      </c>
      <c r="R380" s="1">
        <v>342573</v>
      </c>
      <c r="S380" s="1">
        <v>1992445</v>
      </c>
      <c r="T380" s="1">
        <v>1664541</v>
      </c>
      <c r="U380" s="1">
        <v>327904</v>
      </c>
      <c r="V380" s="1">
        <v>952175</v>
      </c>
      <c r="W380" s="1">
        <v>1040270</v>
      </c>
      <c r="X380" s="1">
        <v>1480503</v>
      </c>
      <c r="Y380" s="1">
        <v>82146</v>
      </c>
      <c r="Z380" s="1">
        <v>27623</v>
      </c>
      <c r="AA380" s="1">
        <v>26408</v>
      </c>
      <c r="AB380" s="1">
        <v>178349</v>
      </c>
      <c r="AC380" s="1">
        <v>0</v>
      </c>
      <c r="AD380" s="2">
        <f t="shared" si="27"/>
        <v>0</v>
      </c>
      <c r="AE380">
        <f t="shared" si="28"/>
        <v>0</v>
      </c>
      <c r="AF380" s="1">
        <v>2426</v>
      </c>
      <c r="AG380" s="1">
        <v>453438</v>
      </c>
      <c r="AH380" s="1">
        <v>2012500</v>
      </c>
      <c r="AI380" s="1">
        <v>1602034</v>
      </c>
      <c r="AJ380" s="1">
        <v>410466</v>
      </c>
      <c r="AK380" s="1">
        <v>700399</v>
      </c>
      <c r="AL380" s="1">
        <v>1312101</v>
      </c>
    </row>
    <row r="381" spans="1:38" x14ac:dyDescent="0.2">
      <c r="A381">
        <v>419</v>
      </c>
      <c r="B381" t="s">
        <v>353</v>
      </c>
      <c r="C381" t="s">
        <v>810</v>
      </c>
      <c r="D381" t="s">
        <v>1079</v>
      </c>
      <c r="E381" t="s">
        <v>1166</v>
      </c>
      <c r="F381" t="s">
        <v>1311</v>
      </c>
      <c r="G381" s="7">
        <v>500</v>
      </c>
      <c r="H381" t="str">
        <f t="shared" si="29"/>
        <v>Z</v>
      </c>
      <c r="I381" s="1">
        <v>1217412</v>
      </c>
      <c r="J381" s="1">
        <v>92379</v>
      </c>
      <c r="K381" s="1">
        <v>93379</v>
      </c>
      <c r="L381" s="1">
        <v>80345</v>
      </c>
      <c r="M381" s="1">
        <v>7188</v>
      </c>
      <c r="N381" s="1">
        <v>810847</v>
      </c>
      <c r="O381" s="2">
        <f t="shared" si="25"/>
        <v>0.66604157015045029</v>
      </c>
      <c r="P381">
        <f t="shared" si="26"/>
        <v>1</v>
      </c>
      <c r="Q381" s="1">
        <v>1528</v>
      </c>
      <c r="R381" s="1">
        <v>101246.52997</v>
      </c>
      <c r="S381" s="1">
        <v>598519</v>
      </c>
      <c r="T381" s="1">
        <v>94716</v>
      </c>
      <c r="U381" s="1">
        <v>503803</v>
      </c>
      <c r="V381" s="1">
        <v>264466</v>
      </c>
      <c r="W381" s="1">
        <v>334052.98288000003</v>
      </c>
      <c r="X381" s="1">
        <v>2009911</v>
      </c>
      <c r="Y381" s="1">
        <v>-57689</v>
      </c>
      <c r="Z381" s="1">
        <v>-54963</v>
      </c>
      <c r="AA381" s="1">
        <v>-47468</v>
      </c>
      <c r="AB381" s="1">
        <v>10010</v>
      </c>
      <c r="AC381" s="1">
        <v>1547839</v>
      </c>
      <c r="AD381" s="2">
        <f t="shared" si="27"/>
        <v>0.77010325332813245</v>
      </c>
      <c r="AE381">
        <f t="shared" si="28"/>
        <v>1</v>
      </c>
      <c r="AF381" s="1">
        <v>1267</v>
      </c>
      <c r="AG381" s="1">
        <v>147196</v>
      </c>
      <c r="AH381" s="1">
        <v>698916</v>
      </c>
      <c r="AI381" s="1">
        <v>130158</v>
      </c>
      <c r="AJ381" s="1">
        <v>568758</v>
      </c>
      <c r="AK381" s="1">
        <v>182910</v>
      </c>
      <c r="AL381" s="1">
        <v>516005</v>
      </c>
    </row>
    <row r="382" spans="1:38" x14ac:dyDescent="0.2">
      <c r="A382">
        <v>420</v>
      </c>
      <c r="B382" t="s">
        <v>425</v>
      </c>
      <c r="C382" t="s">
        <v>882</v>
      </c>
      <c r="D382" t="s">
        <v>974</v>
      </c>
      <c r="E382" t="s">
        <v>1131</v>
      </c>
      <c r="F382" t="s">
        <v>1305</v>
      </c>
      <c r="G382" s="7">
        <v>400</v>
      </c>
      <c r="H382" t="str">
        <f t="shared" si="29"/>
        <v>K</v>
      </c>
      <c r="I382" s="1">
        <v>1209839</v>
      </c>
      <c r="J382" s="1">
        <v>11766</v>
      </c>
      <c r="K382" s="1">
        <v>7513</v>
      </c>
      <c r="L382" s="1">
        <v>7513</v>
      </c>
      <c r="M382" s="1">
        <v>4071</v>
      </c>
      <c r="N382" s="1">
        <v>0</v>
      </c>
      <c r="O382" s="2">
        <f t="shared" si="25"/>
        <v>0</v>
      </c>
      <c r="P382">
        <f t="shared" si="26"/>
        <v>0</v>
      </c>
      <c r="Q382" s="1">
        <v>715</v>
      </c>
      <c r="R382" s="1">
        <v>66136</v>
      </c>
      <c r="S382" s="1">
        <v>420015</v>
      </c>
      <c r="T382" s="1">
        <v>56616</v>
      </c>
      <c r="U382" s="1">
        <v>363399</v>
      </c>
      <c r="V382" s="1">
        <v>82472</v>
      </c>
      <c r="W382" s="1">
        <v>337542.95104000001</v>
      </c>
      <c r="X382" s="1">
        <v>1473367</v>
      </c>
      <c r="Y382" s="1">
        <v>17341.847880000001</v>
      </c>
      <c r="Z382" s="1">
        <v>5206.1850700000005</v>
      </c>
      <c r="AA382" s="1">
        <v>4284.6442500000003</v>
      </c>
      <c r="AB382" s="1">
        <v>3529.7</v>
      </c>
      <c r="AC382" s="1">
        <v>0</v>
      </c>
      <c r="AD382" s="2">
        <f t="shared" si="27"/>
        <v>0</v>
      </c>
      <c r="AE382">
        <f t="shared" si="28"/>
        <v>0</v>
      </c>
      <c r="AF382" s="1">
        <v>710</v>
      </c>
      <c r="AG382" s="1">
        <v>95331</v>
      </c>
      <c r="AH382" s="1">
        <v>477881.71653999999</v>
      </c>
      <c r="AI382" s="1">
        <v>54934.008889999997</v>
      </c>
      <c r="AJ382" s="1">
        <v>422947.70765</v>
      </c>
      <c r="AK382" s="1">
        <v>90638.128030000007</v>
      </c>
      <c r="AL382" s="1">
        <v>387243.58850999997</v>
      </c>
    </row>
    <row r="383" spans="1:38" x14ac:dyDescent="0.2">
      <c r="A383">
        <v>421</v>
      </c>
      <c r="B383" t="s">
        <v>438</v>
      </c>
      <c r="C383" t="s">
        <v>895</v>
      </c>
      <c r="D383" t="s">
        <v>45</v>
      </c>
      <c r="E383" t="s">
        <v>1258</v>
      </c>
      <c r="F383" t="s">
        <v>1308</v>
      </c>
      <c r="G383" s="7">
        <v>500</v>
      </c>
      <c r="H383" t="str">
        <f t="shared" si="29"/>
        <v>Z</v>
      </c>
      <c r="I383" s="1">
        <v>1258821</v>
      </c>
      <c r="J383" s="1">
        <v>228292</v>
      </c>
      <c r="K383" s="1">
        <v>218835</v>
      </c>
      <c r="L383" s="1">
        <v>170473</v>
      </c>
      <c r="M383" s="1">
        <v>42094</v>
      </c>
      <c r="N383" s="1">
        <v>0</v>
      </c>
      <c r="O383" s="2">
        <f t="shared" si="25"/>
        <v>0</v>
      </c>
      <c r="P383">
        <f t="shared" si="26"/>
        <v>0</v>
      </c>
      <c r="Q383" s="1">
        <v>667</v>
      </c>
      <c r="R383" s="1">
        <v>120496</v>
      </c>
      <c r="S383" s="1">
        <v>799738</v>
      </c>
      <c r="T383" s="1">
        <v>296799</v>
      </c>
      <c r="U383" s="1">
        <v>502939</v>
      </c>
      <c r="V383" s="1">
        <v>314438</v>
      </c>
      <c r="W383" s="1">
        <v>485300</v>
      </c>
      <c r="X383" s="1">
        <v>1375071</v>
      </c>
      <c r="Y383" s="1">
        <v>292429</v>
      </c>
      <c r="Z383" s="1">
        <v>273038</v>
      </c>
      <c r="AA383" s="1">
        <v>243365</v>
      </c>
      <c r="AB383" s="1">
        <v>41307</v>
      </c>
      <c r="AC383" s="1">
        <v>0</v>
      </c>
      <c r="AD383" s="2">
        <f t="shared" si="27"/>
        <v>0</v>
      </c>
      <c r="AE383">
        <f t="shared" si="28"/>
        <v>0</v>
      </c>
      <c r="AF383" s="1">
        <v>889</v>
      </c>
      <c r="AG383" s="1">
        <v>152953</v>
      </c>
      <c r="AH383" s="1">
        <v>2319847</v>
      </c>
      <c r="AI383" s="1">
        <v>1465783</v>
      </c>
      <c r="AJ383" s="1">
        <v>854064</v>
      </c>
      <c r="AK383" s="1">
        <v>1033381</v>
      </c>
      <c r="AL383" s="1">
        <v>1286466</v>
      </c>
    </row>
    <row r="384" spans="1:38" x14ac:dyDescent="0.2">
      <c r="A384">
        <v>422</v>
      </c>
      <c r="B384" t="s">
        <v>452</v>
      </c>
      <c r="C384" t="s">
        <v>909</v>
      </c>
      <c r="D384" t="s">
        <v>1095</v>
      </c>
      <c r="E384" t="s">
        <v>1271</v>
      </c>
      <c r="F384" t="s">
        <v>1306</v>
      </c>
      <c r="G384" s="7">
        <v>500</v>
      </c>
      <c r="H384" t="str">
        <f t="shared" si="29"/>
        <v>Z</v>
      </c>
      <c r="I384" s="1">
        <v>1208914</v>
      </c>
      <c r="J384" s="1">
        <v>35921</v>
      </c>
      <c r="K384" s="1">
        <v>36357</v>
      </c>
      <c r="L384" s="1">
        <v>27839</v>
      </c>
      <c r="M384" s="1">
        <v>3688</v>
      </c>
      <c r="N384" s="1">
        <v>157681</v>
      </c>
      <c r="O384" s="2">
        <f t="shared" si="25"/>
        <v>0.13043194139533498</v>
      </c>
      <c r="P384">
        <f t="shared" si="26"/>
        <v>0</v>
      </c>
      <c r="Q384" s="1">
        <v>898</v>
      </c>
      <c r="R384" s="1">
        <v>167484</v>
      </c>
      <c r="S384" s="1">
        <v>410267</v>
      </c>
      <c r="T384" s="1">
        <v>54798</v>
      </c>
      <c r="U384" s="1">
        <v>355469</v>
      </c>
      <c r="V384" s="1">
        <v>96337</v>
      </c>
      <c r="W384" s="1">
        <v>313930</v>
      </c>
      <c r="X384" s="1">
        <v>1266718</v>
      </c>
      <c r="Y384" s="1">
        <v>34798</v>
      </c>
      <c r="Z384" s="1">
        <v>33636</v>
      </c>
      <c r="AA384" s="1">
        <v>19316</v>
      </c>
      <c r="AB384" s="1">
        <v>7112</v>
      </c>
      <c r="AC384" s="1">
        <v>173951</v>
      </c>
      <c r="AD384" s="2">
        <f t="shared" si="27"/>
        <v>0.1373241715993615</v>
      </c>
      <c r="AE384">
        <f t="shared" si="28"/>
        <v>0</v>
      </c>
      <c r="AF384" s="1">
        <v>2113</v>
      </c>
      <c r="AG384" s="1">
        <v>424445</v>
      </c>
      <c r="AH384" s="1">
        <v>423891</v>
      </c>
      <c r="AI384" s="1">
        <v>66124</v>
      </c>
      <c r="AJ384" s="1">
        <v>357767</v>
      </c>
      <c r="AK384" s="1">
        <v>87942</v>
      </c>
      <c r="AL384" s="1">
        <v>335949</v>
      </c>
    </row>
    <row r="385" spans="1:38" x14ac:dyDescent="0.2">
      <c r="A385">
        <v>423</v>
      </c>
      <c r="B385" t="s">
        <v>442</v>
      </c>
      <c r="C385" t="s">
        <v>899</v>
      </c>
      <c r="D385" t="s">
        <v>1104</v>
      </c>
      <c r="E385" t="s">
        <v>1281</v>
      </c>
      <c r="F385" t="s">
        <v>1306</v>
      </c>
      <c r="G385" s="7">
        <v>400</v>
      </c>
      <c r="H385" t="str">
        <f t="shared" si="29"/>
        <v>K</v>
      </c>
      <c r="I385" s="1">
        <v>1208432.66028</v>
      </c>
      <c r="J385" s="1">
        <v>48511</v>
      </c>
      <c r="K385" s="1">
        <v>43300</v>
      </c>
      <c r="L385" s="1">
        <v>42147.047149999999</v>
      </c>
      <c r="M385" s="1">
        <v>15219</v>
      </c>
      <c r="N385" s="1">
        <v>580047.67693439999</v>
      </c>
      <c r="O385" s="2">
        <f t="shared" si="25"/>
        <v>0.48000000000000004</v>
      </c>
      <c r="P385">
        <f t="shared" si="26"/>
        <v>0</v>
      </c>
      <c r="Q385" s="1">
        <v>1538</v>
      </c>
      <c r="R385" s="1">
        <v>111852</v>
      </c>
      <c r="S385" s="1">
        <v>463095</v>
      </c>
      <c r="T385" s="1">
        <v>76319</v>
      </c>
      <c r="U385" s="1">
        <v>386776</v>
      </c>
      <c r="V385" s="1">
        <v>229239</v>
      </c>
      <c r="W385" s="1">
        <v>233855.85423</v>
      </c>
      <c r="X385" s="1">
        <v>1337061.5063499999</v>
      </c>
      <c r="Y385" s="1">
        <v>72867.946779999998</v>
      </c>
      <c r="Z385" s="1">
        <v>58179.556380000002</v>
      </c>
      <c r="AA385" s="1">
        <v>57033.592380000002</v>
      </c>
      <c r="AB385" s="1">
        <v>21899.029450000002</v>
      </c>
      <c r="AC385" s="1">
        <v>846060</v>
      </c>
      <c r="AD385" s="2">
        <f t="shared" si="27"/>
        <v>0.63277567709628502</v>
      </c>
      <c r="AE385">
        <f t="shared" si="28"/>
        <v>1</v>
      </c>
      <c r="AF385" s="1">
        <v>1372</v>
      </c>
      <c r="AG385" s="1">
        <v>153496.53021</v>
      </c>
      <c r="AH385" s="1">
        <v>724307.86287000007</v>
      </c>
      <c r="AI385" s="1">
        <v>191439.88829</v>
      </c>
      <c r="AJ385" s="1">
        <v>532867.97458000004</v>
      </c>
      <c r="AK385" s="1">
        <v>421884.40554000001</v>
      </c>
      <c r="AL385" s="1">
        <v>302423.45733</v>
      </c>
    </row>
    <row r="386" spans="1:38" x14ac:dyDescent="0.2">
      <c r="A386">
        <v>424</v>
      </c>
      <c r="B386" t="s">
        <v>394</v>
      </c>
      <c r="C386" t="s">
        <v>851</v>
      </c>
      <c r="D386" t="s">
        <v>53</v>
      </c>
      <c r="E386" t="s">
        <v>1265</v>
      </c>
      <c r="F386" t="s">
        <v>1306</v>
      </c>
      <c r="G386" s="7">
        <v>500</v>
      </c>
      <c r="H386" t="str">
        <f t="shared" si="29"/>
        <v>Z</v>
      </c>
      <c r="I386" s="1">
        <v>1202417</v>
      </c>
      <c r="J386" s="1">
        <v>173951</v>
      </c>
      <c r="K386" s="1">
        <v>175513</v>
      </c>
      <c r="L386" s="1">
        <v>174878</v>
      </c>
      <c r="M386" s="1">
        <v>66926</v>
      </c>
      <c r="N386" s="1">
        <v>661462</v>
      </c>
      <c r="O386" s="2">
        <f t="shared" ref="O386:O449" si="30">IF(I386=0,0,N386/I386)</f>
        <v>0.55011031946487787</v>
      </c>
      <c r="P386">
        <f t="shared" ref="P386:P449" si="31">IF(O386&gt;50%,1,0)</f>
        <v>1</v>
      </c>
      <c r="Q386" s="1">
        <v>529</v>
      </c>
      <c r="R386" s="1">
        <v>56262.066909999987</v>
      </c>
      <c r="S386" s="1">
        <v>1285949</v>
      </c>
      <c r="T386" s="1">
        <v>735558</v>
      </c>
      <c r="U386" s="1">
        <v>550391</v>
      </c>
      <c r="V386" s="1">
        <v>860799</v>
      </c>
      <c r="W386" s="1">
        <v>425150.19906000001</v>
      </c>
      <c r="X386" s="1">
        <v>1652748.76884</v>
      </c>
      <c r="Y386" s="1">
        <v>400704.25861999998</v>
      </c>
      <c r="Z386" s="1">
        <v>403828.22026999999</v>
      </c>
      <c r="AA386" s="1">
        <v>349448.62226999999</v>
      </c>
      <c r="AB386" s="1">
        <v>62865.200520000013</v>
      </c>
      <c r="AC386" s="1">
        <v>912564</v>
      </c>
      <c r="AD386" s="2">
        <f t="shared" ref="AD386:AD449" si="32">IF(X386=0,0,AC386/X386)</f>
        <v>0.55214925414253557</v>
      </c>
      <c r="AE386">
        <f t="shared" ref="AE386:AE449" si="33">IF(AD386&gt;50%,1,0)</f>
        <v>1</v>
      </c>
      <c r="AF386" s="1">
        <v>545</v>
      </c>
      <c r="AG386" s="1">
        <v>100638.62188999999</v>
      </c>
      <c r="AH386" s="1">
        <v>1366313.1804299999</v>
      </c>
      <c r="AI386" s="1">
        <v>569002.76432000007</v>
      </c>
      <c r="AJ386" s="1">
        <v>797310.41610999999</v>
      </c>
      <c r="AK386" s="1">
        <v>1036395.78783</v>
      </c>
      <c r="AL386" s="1">
        <v>329917.39260000002</v>
      </c>
    </row>
    <row r="387" spans="1:38" x14ac:dyDescent="0.2">
      <c r="A387">
        <v>425</v>
      </c>
      <c r="B387" t="s">
        <v>506</v>
      </c>
      <c r="C387" t="s">
        <v>960</v>
      </c>
      <c r="D387" t="s">
        <v>1117</v>
      </c>
      <c r="E387" t="s">
        <v>1299</v>
      </c>
      <c r="F387" t="s">
        <v>1294</v>
      </c>
      <c r="G387" s="7">
        <v>450</v>
      </c>
      <c r="H387" t="str">
        <f t="shared" ref="H387:H450" si="34">IF(G387&lt;500,"K","Z")</f>
        <v>K</v>
      </c>
      <c r="I387" s="1">
        <v>1200000</v>
      </c>
      <c r="J387" s="1">
        <v>-4501391</v>
      </c>
      <c r="K387" s="1">
        <v>-4687512</v>
      </c>
      <c r="L387" s="1">
        <v>-4687585</v>
      </c>
      <c r="M387" s="1">
        <v>6</v>
      </c>
      <c r="N387" s="1">
        <v>0</v>
      </c>
      <c r="O387" s="2">
        <f t="shared" si="30"/>
        <v>0</v>
      </c>
      <c r="P387">
        <f t="shared" si="31"/>
        <v>0</v>
      </c>
      <c r="Q387" s="1">
        <v>60</v>
      </c>
      <c r="R387" s="1">
        <v>0</v>
      </c>
      <c r="S387" s="1">
        <v>120267</v>
      </c>
      <c r="T387" s="1">
        <v>904</v>
      </c>
      <c r="U387" s="1">
        <v>119365</v>
      </c>
      <c r="V387" s="1">
        <v>-4889085</v>
      </c>
      <c r="W387" s="1">
        <v>5009353</v>
      </c>
      <c r="X387" s="1">
        <v>0</v>
      </c>
      <c r="Y387" s="1">
        <v>-273710</v>
      </c>
      <c r="Z387" s="1">
        <v>-361578</v>
      </c>
      <c r="AA387" s="1">
        <v>-361578</v>
      </c>
      <c r="AB387" s="1">
        <v>0</v>
      </c>
      <c r="AC387" s="1">
        <v>0</v>
      </c>
      <c r="AD387" s="2">
        <f t="shared" si="32"/>
        <v>0</v>
      </c>
      <c r="AE387">
        <f t="shared" si="33"/>
        <v>0</v>
      </c>
      <c r="AF387" s="1">
        <v>0</v>
      </c>
      <c r="AG387" s="1">
        <v>0</v>
      </c>
      <c r="AH387" s="1">
        <v>18878</v>
      </c>
      <c r="AI387" s="1">
        <v>74</v>
      </c>
      <c r="AJ387" s="1">
        <v>18804</v>
      </c>
      <c r="AK387" s="1">
        <v>-6330335</v>
      </c>
      <c r="AL387" s="1">
        <v>6349213</v>
      </c>
    </row>
    <row r="388" spans="1:38" x14ac:dyDescent="0.2">
      <c r="A388">
        <v>426</v>
      </c>
      <c r="B388" t="s">
        <v>387</v>
      </c>
      <c r="C388" t="s">
        <v>844</v>
      </c>
      <c r="D388" t="s">
        <v>963</v>
      </c>
      <c r="E388" t="s">
        <v>1120</v>
      </c>
      <c r="F388" t="s">
        <v>1301</v>
      </c>
      <c r="G388" s="7">
        <v>500</v>
      </c>
      <c r="H388" t="str">
        <f t="shared" si="34"/>
        <v>Z</v>
      </c>
      <c r="I388" s="1">
        <v>1472165</v>
      </c>
      <c r="J388" s="1">
        <v>65183</v>
      </c>
      <c r="K388" s="1">
        <v>66910</v>
      </c>
      <c r="L388" s="1">
        <v>53460</v>
      </c>
      <c r="M388" s="1">
        <v>24818</v>
      </c>
      <c r="N388" s="1">
        <v>0</v>
      </c>
      <c r="O388" s="2">
        <f t="shared" si="30"/>
        <v>0</v>
      </c>
      <c r="P388">
        <f t="shared" si="31"/>
        <v>0</v>
      </c>
      <c r="Q388" s="1">
        <v>2268</v>
      </c>
      <c r="R388" s="1">
        <v>90785</v>
      </c>
      <c r="S388" s="1">
        <v>339172</v>
      </c>
      <c r="T388" s="1">
        <v>143032</v>
      </c>
      <c r="U388" s="1">
        <v>196140</v>
      </c>
      <c r="V388" s="1">
        <v>209626</v>
      </c>
      <c r="W388" s="1">
        <v>129546</v>
      </c>
      <c r="X388" s="1">
        <v>1691419</v>
      </c>
      <c r="Y388" s="1">
        <v>49685</v>
      </c>
      <c r="Z388" s="1">
        <v>59731</v>
      </c>
      <c r="AA388" s="1">
        <v>48142</v>
      </c>
      <c r="AB388" s="1">
        <v>21919</v>
      </c>
      <c r="AC388" s="1">
        <v>0</v>
      </c>
      <c r="AD388" s="2">
        <f t="shared" si="32"/>
        <v>0</v>
      </c>
      <c r="AE388">
        <f t="shared" si="33"/>
        <v>0</v>
      </c>
      <c r="AF388" s="1">
        <v>2478</v>
      </c>
      <c r="AG388" s="1">
        <v>110683</v>
      </c>
      <c r="AH388" s="1">
        <v>532170</v>
      </c>
      <c r="AI388" s="1">
        <v>121261</v>
      </c>
      <c r="AJ388" s="1">
        <v>410909</v>
      </c>
      <c r="AK388" s="1">
        <v>315297</v>
      </c>
      <c r="AL388" s="1">
        <v>216873</v>
      </c>
    </row>
    <row r="389" spans="1:38" x14ac:dyDescent="0.2">
      <c r="A389">
        <v>427</v>
      </c>
      <c r="B389" t="s">
        <v>428</v>
      </c>
      <c r="C389" t="s">
        <v>885</v>
      </c>
      <c r="D389" t="s">
        <v>973</v>
      </c>
      <c r="E389" t="s">
        <v>1130</v>
      </c>
      <c r="F389" t="s">
        <v>1304</v>
      </c>
      <c r="G389" s="7">
        <v>500</v>
      </c>
      <c r="H389" t="str">
        <f t="shared" si="34"/>
        <v>Z</v>
      </c>
      <c r="I389" s="1">
        <v>1197821</v>
      </c>
      <c r="J389" s="1">
        <v>50739</v>
      </c>
      <c r="K389" s="1">
        <v>56522</v>
      </c>
      <c r="L389" s="1">
        <v>40473</v>
      </c>
      <c r="M389" s="1">
        <v>4358</v>
      </c>
      <c r="N389" s="1">
        <v>0</v>
      </c>
      <c r="O389" s="2">
        <f t="shared" si="30"/>
        <v>0</v>
      </c>
      <c r="P389">
        <f t="shared" si="31"/>
        <v>0</v>
      </c>
      <c r="Q389" s="1">
        <v>1155</v>
      </c>
      <c r="R389" s="1">
        <v>155853</v>
      </c>
      <c r="S389" s="1">
        <v>921643</v>
      </c>
      <c r="T389" s="1">
        <v>299883</v>
      </c>
      <c r="U389" s="1">
        <v>621760</v>
      </c>
      <c r="V389" s="1">
        <v>357829</v>
      </c>
      <c r="W389" s="1">
        <v>563814</v>
      </c>
      <c r="X389" s="1">
        <v>1448550</v>
      </c>
      <c r="Y389" s="1">
        <v>78008</v>
      </c>
      <c r="Z389" s="1">
        <v>77425</v>
      </c>
      <c r="AA389" s="1">
        <v>60864</v>
      </c>
      <c r="AB389" s="1">
        <v>1195</v>
      </c>
      <c r="AC389" s="1">
        <v>0</v>
      </c>
      <c r="AD389" s="2">
        <f t="shared" si="32"/>
        <v>0</v>
      </c>
      <c r="AE389">
        <f t="shared" si="33"/>
        <v>0</v>
      </c>
      <c r="AF389" s="1">
        <v>939</v>
      </c>
      <c r="AG389" s="1">
        <v>164543</v>
      </c>
      <c r="AH389" s="1">
        <v>1447813</v>
      </c>
      <c r="AI389" s="1">
        <v>764089</v>
      </c>
      <c r="AJ389" s="1">
        <v>683724</v>
      </c>
      <c r="AK389" s="1">
        <v>652754</v>
      </c>
      <c r="AL389" s="1">
        <v>795059</v>
      </c>
    </row>
    <row r="390" spans="1:38" x14ac:dyDescent="0.2">
      <c r="A390">
        <v>428</v>
      </c>
      <c r="B390" t="s">
        <v>397</v>
      </c>
      <c r="C390" t="s">
        <v>854</v>
      </c>
      <c r="D390" t="s">
        <v>51</v>
      </c>
      <c r="E390" t="s">
        <v>1251</v>
      </c>
      <c r="F390" t="s">
        <v>1294</v>
      </c>
      <c r="G390" s="7">
        <v>400</v>
      </c>
      <c r="H390" t="str">
        <f t="shared" si="34"/>
        <v>K</v>
      </c>
      <c r="I390" s="1">
        <v>1196947</v>
      </c>
      <c r="J390" s="1">
        <v>82503</v>
      </c>
      <c r="K390" s="1">
        <v>42189</v>
      </c>
      <c r="L390" s="1">
        <v>42189</v>
      </c>
      <c r="M390" s="1">
        <v>96055.678459999996</v>
      </c>
      <c r="N390" s="1">
        <v>200797</v>
      </c>
      <c r="O390" s="2">
        <f t="shared" si="30"/>
        <v>0.16775763672075705</v>
      </c>
      <c r="P390">
        <f t="shared" si="31"/>
        <v>0</v>
      </c>
      <c r="Q390" s="1">
        <v>588</v>
      </c>
      <c r="R390" s="1">
        <v>50130.173869999999</v>
      </c>
      <c r="S390" s="1">
        <v>1367422.5507</v>
      </c>
      <c r="T390" s="1">
        <v>1041395.33652</v>
      </c>
      <c r="U390" s="1">
        <v>326027.21418000001</v>
      </c>
      <c r="V390" s="1">
        <v>415248.67445999989</v>
      </c>
      <c r="W390" s="1">
        <v>952173.87624000001</v>
      </c>
      <c r="X390" s="1">
        <v>1643521.77938</v>
      </c>
      <c r="Y390" s="1">
        <v>247003.20206000001</v>
      </c>
      <c r="Z390" s="1">
        <v>265339.54956000001</v>
      </c>
      <c r="AA390" s="1">
        <v>266497.81555</v>
      </c>
      <c r="AB390" s="1">
        <v>69993.467850000001</v>
      </c>
      <c r="AC390" s="1">
        <v>328247</v>
      </c>
      <c r="AD390" s="2">
        <f t="shared" si="32"/>
        <v>0.19972172204729011</v>
      </c>
      <c r="AE390">
        <f t="shared" si="33"/>
        <v>0</v>
      </c>
      <c r="AF390" s="1">
        <v>587</v>
      </c>
      <c r="AG390" s="1">
        <v>74777.587479999987</v>
      </c>
      <c r="AH390" s="1">
        <v>1267707.0578999999</v>
      </c>
      <c r="AI390" s="1">
        <v>949410.02540000004</v>
      </c>
      <c r="AJ390" s="1">
        <v>318297.03249999997</v>
      </c>
      <c r="AK390" s="1">
        <v>471049.67482000001</v>
      </c>
      <c r="AL390" s="1">
        <v>796657.38308000006</v>
      </c>
    </row>
    <row r="391" spans="1:38" x14ac:dyDescent="0.2">
      <c r="A391">
        <v>430</v>
      </c>
      <c r="B391" t="s">
        <v>395</v>
      </c>
      <c r="C391" t="s">
        <v>852</v>
      </c>
      <c r="D391" t="s">
        <v>1090</v>
      </c>
      <c r="E391" t="s">
        <v>1266</v>
      </c>
      <c r="F391" t="s">
        <v>1308</v>
      </c>
      <c r="G391" s="7">
        <v>400</v>
      </c>
      <c r="H391" t="str">
        <f t="shared" si="34"/>
        <v>K</v>
      </c>
      <c r="I391" s="1">
        <v>1194439</v>
      </c>
      <c r="J391" s="1">
        <v>4039</v>
      </c>
      <c r="K391" s="1">
        <v>2451</v>
      </c>
      <c r="L391" s="1">
        <v>1749</v>
      </c>
      <c r="M391" s="1">
        <v>5214</v>
      </c>
      <c r="N391" s="1">
        <v>25000</v>
      </c>
      <c r="O391" s="2">
        <f t="shared" si="30"/>
        <v>2.0930327961494893E-2</v>
      </c>
      <c r="P391">
        <f t="shared" si="31"/>
        <v>0</v>
      </c>
      <c r="Q391" s="1">
        <v>403</v>
      </c>
      <c r="R391" s="1">
        <v>42515</v>
      </c>
      <c r="S391" s="1">
        <v>329572.29207000002</v>
      </c>
      <c r="T391" s="1">
        <v>54944.709900000002</v>
      </c>
      <c r="U391" s="1">
        <v>274627.58217000001</v>
      </c>
      <c r="V391" s="1">
        <v>117339.44213</v>
      </c>
      <c r="W391" s="1">
        <v>206950.71090999999</v>
      </c>
      <c r="X391" s="1">
        <v>1650777.7862199999</v>
      </c>
      <c r="Y391" s="1">
        <v>8044.3510199999992</v>
      </c>
      <c r="Z391" s="1">
        <v>6558.5269699999999</v>
      </c>
      <c r="AA391" s="1">
        <v>5903.2669699999997</v>
      </c>
      <c r="AB391" s="1">
        <v>7059.8269099999998</v>
      </c>
      <c r="AC391" s="1">
        <v>185661</v>
      </c>
      <c r="AD391" s="2">
        <f t="shared" si="32"/>
        <v>0.11246880200946494</v>
      </c>
      <c r="AE391">
        <f t="shared" si="33"/>
        <v>0</v>
      </c>
      <c r="AF391" s="1">
        <v>457</v>
      </c>
      <c r="AG391" s="1">
        <v>65203.031329999998</v>
      </c>
      <c r="AH391" s="1">
        <v>585374.66063000006</v>
      </c>
      <c r="AI391" s="1">
        <v>123149.48942</v>
      </c>
      <c r="AJ391" s="1">
        <v>462225.17121</v>
      </c>
      <c r="AK391" s="1">
        <v>200514.25679000001</v>
      </c>
      <c r="AL391" s="1">
        <v>384860.40383999998</v>
      </c>
    </row>
    <row r="392" spans="1:38" x14ac:dyDescent="0.2">
      <c r="A392">
        <v>431</v>
      </c>
      <c r="B392" t="s">
        <v>482</v>
      </c>
      <c r="C392" t="s">
        <v>938</v>
      </c>
      <c r="D392" t="s">
        <v>1036</v>
      </c>
      <c r="E392" t="s">
        <v>1210</v>
      </c>
      <c r="F392" t="s">
        <v>1305</v>
      </c>
      <c r="G392" s="7">
        <v>500</v>
      </c>
      <c r="H392" t="str">
        <f t="shared" si="34"/>
        <v>Z</v>
      </c>
      <c r="I392" s="1">
        <v>1192757.2096899999</v>
      </c>
      <c r="J392" s="1">
        <v>3886.7222049997999</v>
      </c>
      <c r="K392" s="1">
        <v>-5604.7429250001996</v>
      </c>
      <c r="L392" s="1">
        <v>-11039.7917650002</v>
      </c>
      <c r="M392" s="1">
        <v>14370.116330000001</v>
      </c>
      <c r="N392" s="1">
        <v>126732.60209</v>
      </c>
      <c r="O392" s="2">
        <f t="shared" si="30"/>
        <v>0.10625180133930028</v>
      </c>
      <c r="P392">
        <f t="shared" si="31"/>
        <v>0</v>
      </c>
      <c r="Q392" s="1">
        <v>475</v>
      </c>
      <c r="R392" s="1">
        <v>39346.78499</v>
      </c>
      <c r="S392" s="1">
        <v>447988.54178000003</v>
      </c>
      <c r="T392" s="1">
        <v>91503.288010000004</v>
      </c>
      <c r="U392" s="1">
        <v>356485.25377000001</v>
      </c>
      <c r="V392" s="1">
        <v>12145.8399149998</v>
      </c>
      <c r="W392" s="1">
        <v>435842.70186999999</v>
      </c>
      <c r="X392" s="1">
        <v>1089905</v>
      </c>
      <c r="Y392" s="1">
        <v>44346</v>
      </c>
      <c r="Z392" s="1">
        <v>36655</v>
      </c>
      <c r="AA392" s="1">
        <v>33273</v>
      </c>
      <c r="AB392" s="1">
        <v>12006</v>
      </c>
      <c r="AC392" s="1">
        <v>393320</v>
      </c>
      <c r="AD392" s="2">
        <f t="shared" si="32"/>
        <v>0.36087548914813677</v>
      </c>
      <c r="AE392">
        <f t="shared" si="33"/>
        <v>0</v>
      </c>
      <c r="AF392" s="1">
        <v>466</v>
      </c>
      <c r="AG392" s="1">
        <v>61694</v>
      </c>
      <c r="AH392" s="1">
        <v>717902</v>
      </c>
      <c r="AI392" s="1">
        <v>233529</v>
      </c>
      <c r="AJ392" s="1">
        <v>484373</v>
      </c>
      <c r="AK392" s="1">
        <v>58348</v>
      </c>
      <c r="AL392" s="1">
        <v>659554</v>
      </c>
    </row>
    <row r="393" spans="1:38" x14ac:dyDescent="0.2">
      <c r="A393">
        <v>432</v>
      </c>
      <c r="B393" t="s">
        <v>373</v>
      </c>
      <c r="C393" t="s">
        <v>830</v>
      </c>
      <c r="D393" t="s">
        <v>974</v>
      </c>
      <c r="E393" t="s">
        <v>1131</v>
      </c>
      <c r="F393" t="s">
        <v>1305</v>
      </c>
      <c r="G393" s="7">
        <v>400</v>
      </c>
      <c r="H393" t="str">
        <f t="shared" si="34"/>
        <v>K</v>
      </c>
      <c r="I393" s="1">
        <v>1191454</v>
      </c>
      <c r="J393" s="1">
        <v>22458</v>
      </c>
      <c r="K393" s="1">
        <v>17703</v>
      </c>
      <c r="L393" s="1">
        <v>13403</v>
      </c>
      <c r="M393" s="1">
        <v>1903</v>
      </c>
      <c r="N393" s="1">
        <v>13316</v>
      </c>
      <c r="O393" s="2">
        <f t="shared" si="30"/>
        <v>1.1176260266867206E-2</v>
      </c>
      <c r="P393">
        <f t="shared" si="31"/>
        <v>0</v>
      </c>
      <c r="Q393" s="1">
        <v>409</v>
      </c>
      <c r="R393" s="1">
        <v>49214</v>
      </c>
      <c r="S393" s="1">
        <v>373227</v>
      </c>
      <c r="T393" s="1">
        <v>54657</v>
      </c>
      <c r="U393" s="1">
        <v>318570</v>
      </c>
      <c r="V393" s="1">
        <v>63738</v>
      </c>
      <c r="W393" s="1">
        <v>309489</v>
      </c>
      <c r="X393" s="1">
        <v>1764882</v>
      </c>
      <c r="Y393" s="1">
        <v>28674</v>
      </c>
      <c r="Z393" s="1">
        <v>18194</v>
      </c>
      <c r="AA393" s="1">
        <v>13983</v>
      </c>
      <c r="AB393" s="1">
        <v>3216</v>
      </c>
      <c r="AC393" s="1">
        <v>0</v>
      </c>
      <c r="AD393" s="2">
        <f t="shared" si="32"/>
        <v>0</v>
      </c>
      <c r="AE393">
        <f t="shared" si="33"/>
        <v>0</v>
      </c>
      <c r="AF393" s="1">
        <v>512</v>
      </c>
      <c r="AG393" s="1">
        <v>86568</v>
      </c>
      <c r="AH393" s="1">
        <v>397000</v>
      </c>
      <c r="AI393" s="1">
        <v>57187</v>
      </c>
      <c r="AJ393" s="1">
        <v>339813</v>
      </c>
      <c r="AK393" s="1">
        <v>115058</v>
      </c>
      <c r="AL393" s="1">
        <v>281942</v>
      </c>
    </row>
    <row r="394" spans="1:38" x14ac:dyDescent="0.2">
      <c r="A394">
        <v>433</v>
      </c>
      <c r="B394" t="s">
        <v>456</v>
      </c>
      <c r="C394" t="s">
        <v>913</v>
      </c>
      <c r="D394" t="s">
        <v>1112</v>
      </c>
      <c r="E394" t="s">
        <v>1288</v>
      </c>
      <c r="F394" t="s">
        <v>1220</v>
      </c>
      <c r="G394" s="7">
        <v>540</v>
      </c>
      <c r="H394" t="str">
        <f t="shared" si="34"/>
        <v>Z</v>
      </c>
      <c r="I394" s="1">
        <v>1189121</v>
      </c>
      <c r="J394" s="1">
        <v>70231</v>
      </c>
      <c r="K394" s="1">
        <v>70307</v>
      </c>
      <c r="L394" s="1">
        <v>56248</v>
      </c>
      <c r="M394" s="1">
        <v>7088</v>
      </c>
      <c r="N394" s="1">
        <v>1175466</v>
      </c>
      <c r="O394" s="2">
        <f t="shared" si="30"/>
        <v>0.98851672790237499</v>
      </c>
      <c r="P394">
        <f t="shared" si="31"/>
        <v>1</v>
      </c>
      <c r="Q394" s="1">
        <v>2827</v>
      </c>
      <c r="R394" s="1">
        <v>265112.59999999998</v>
      </c>
      <c r="S394" s="1">
        <v>436671</v>
      </c>
      <c r="T394" s="1">
        <v>42311</v>
      </c>
      <c r="U394" s="1">
        <v>394360</v>
      </c>
      <c r="V394" s="1">
        <v>202560</v>
      </c>
      <c r="W394" s="1">
        <v>234111.37150000001</v>
      </c>
      <c r="X394" s="1">
        <v>1205043.77975</v>
      </c>
      <c r="Y394" s="1">
        <v>97619.705570000006</v>
      </c>
      <c r="Z394" s="1">
        <v>103176.94688</v>
      </c>
      <c r="AA394" s="1">
        <v>83205.515879999992</v>
      </c>
      <c r="AB394" s="1">
        <v>9986.1249000000007</v>
      </c>
      <c r="AC394" s="1">
        <v>1198059</v>
      </c>
      <c r="AD394" s="2">
        <f t="shared" si="32"/>
        <v>0.99420371287137044</v>
      </c>
      <c r="AE394">
        <f t="shared" si="33"/>
        <v>1</v>
      </c>
      <c r="AF394" s="1">
        <v>2457</v>
      </c>
      <c r="AG394" s="1">
        <v>344166.28474999999</v>
      </c>
      <c r="AH394" s="1">
        <v>524388.25982000004</v>
      </c>
      <c r="AI394" s="1">
        <v>71914.654639999993</v>
      </c>
      <c r="AJ394" s="1">
        <v>452473.60518000001</v>
      </c>
      <c r="AK394" s="1">
        <v>218084.92577999999</v>
      </c>
      <c r="AL394" s="1">
        <v>306303.33403999999</v>
      </c>
    </row>
    <row r="395" spans="1:38" x14ac:dyDescent="0.2">
      <c r="A395">
        <v>434</v>
      </c>
      <c r="B395" t="s">
        <v>339</v>
      </c>
      <c r="C395" t="s">
        <v>796</v>
      </c>
      <c r="D395" t="s">
        <v>39</v>
      </c>
      <c r="E395" t="s">
        <v>1157</v>
      </c>
      <c r="F395" t="s">
        <v>1308</v>
      </c>
      <c r="G395" s="7">
        <v>400</v>
      </c>
      <c r="H395" t="str">
        <f t="shared" si="34"/>
        <v>K</v>
      </c>
      <c r="I395" s="1">
        <v>1189076</v>
      </c>
      <c r="J395" s="1">
        <v>4880</v>
      </c>
      <c r="K395" s="1">
        <v>1284</v>
      </c>
      <c r="L395" s="1">
        <v>1164</v>
      </c>
      <c r="M395" s="1">
        <v>10312</v>
      </c>
      <c r="N395" s="1">
        <v>267759</v>
      </c>
      <c r="O395" s="2">
        <f t="shared" si="30"/>
        <v>0.22518241054398541</v>
      </c>
      <c r="P395">
        <f t="shared" si="31"/>
        <v>0</v>
      </c>
      <c r="Q395" s="1">
        <v>999</v>
      </c>
      <c r="R395" s="1">
        <v>64105.05186</v>
      </c>
      <c r="S395" s="1">
        <v>409167.96351999999</v>
      </c>
      <c r="T395" s="1">
        <v>199471</v>
      </c>
      <c r="U395" s="1">
        <v>199437</v>
      </c>
      <c r="V395" s="1">
        <v>157413</v>
      </c>
      <c r="W395" s="1">
        <v>251755.08777000001</v>
      </c>
      <c r="X395" s="1">
        <v>2160899.2045300002</v>
      </c>
      <c r="Y395" s="1">
        <v>22723.318019999999</v>
      </c>
      <c r="Z395" s="1">
        <v>8201.7706600000001</v>
      </c>
      <c r="AA395" s="1">
        <v>6741.8196600000001</v>
      </c>
      <c r="AB395" s="1">
        <v>21770.886780000001</v>
      </c>
      <c r="AC395" s="1">
        <v>334125</v>
      </c>
      <c r="AD395" s="2">
        <f t="shared" si="32"/>
        <v>0.15462313063911412</v>
      </c>
      <c r="AE395">
        <f t="shared" si="33"/>
        <v>0</v>
      </c>
      <c r="AF395" s="1">
        <v>1003</v>
      </c>
      <c r="AG395" s="1">
        <v>104442.63529999999</v>
      </c>
      <c r="AH395" s="1">
        <v>500735.90175000002</v>
      </c>
      <c r="AI395" s="1">
        <v>210531.04102</v>
      </c>
      <c r="AJ395" s="1">
        <v>290204.86073000001</v>
      </c>
      <c r="AK395" s="1">
        <v>228358.85587</v>
      </c>
      <c r="AL395" s="1">
        <v>300798.30281999998</v>
      </c>
    </row>
    <row r="396" spans="1:38" x14ac:dyDescent="0.2">
      <c r="A396">
        <v>435</v>
      </c>
      <c r="B396" t="s">
        <v>191</v>
      </c>
      <c r="C396" t="s">
        <v>647</v>
      </c>
      <c r="D396" t="s">
        <v>993</v>
      </c>
      <c r="E396" t="s">
        <v>1153</v>
      </c>
      <c r="F396" t="s">
        <v>1306</v>
      </c>
      <c r="G396" s="7">
        <v>500</v>
      </c>
      <c r="H396" t="str">
        <f t="shared" si="34"/>
        <v>Z</v>
      </c>
      <c r="I396" s="1">
        <v>1187880</v>
      </c>
      <c r="J396" s="1">
        <v>25739</v>
      </c>
      <c r="K396" s="1">
        <v>24649</v>
      </c>
      <c r="L396" s="1">
        <v>19183</v>
      </c>
      <c r="M396" s="1">
        <v>2077</v>
      </c>
      <c r="N396" s="1">
        <v>1015046</v>
      </c>
      <c r="O396" s="2">
        <f t="shared" si="30"/>
        <v>0.85450213826312427</v>
      </c>
      <c r="P396">
        <f t="shared" si="31"/>
        <v>1</v>
      </c>
      <c r="Q396" s="1">
        <v>279</v>
      </c>
      <c r="R396" s="1">
        <v>19300.474999999999</v>
      </c>
      <c r="S396" s="1">
        <v>477522</v>
      </c>
      <c r="T396" s="1">
        <v>42436</v>
      </c>
      <c r="U396" s="1">
        <v>435086</v>
      </c>
      <c r="V396" s="1">
        <v>270078</v>
      </c>
      <c r="W396" s="1">
        <v>207443.731</v>
      </c>
      <c r="X396" s="1">
        <v>4082241.2760000001</v>
      </c>
      <c r="Y396" s="1">
        <v>90431.275999999998</v>
      </c>
      <c r="Z396" s="1">
        <v>70684.532000000007</v>
      </c>
      <c r="AA396" s="1">
        <v>56380.281999999999</v>
      </c>
      <c r="AB396" s="1">
        <v>4338.2060000000001</v>
      </c>
      <c r="AC396" s="1">
        <v>4061698.2760000001</v>
      </c>
      <c r="AD396" s="2">
        <f t="shared" si="32"/>
        <v>0.99496771537714468</v>
      </c>
      <c r="AE396">
        <f t="shared" si="33"/>
        <v>1</v>
      </c>
      <c r="AF396" s="1">
        <v>278</v>
      </c>
      <c r="AG396" s="1">
        <v>34768.921999999999</v>
      </c>
      <c r="AH396" s="1">
        <v>1748844.703</v>
      </c>
      <c r="AI396" s="1">
        <v>58467.938000000002</v>
      </c>
      <c r="AJ396" s="1">
        <v>1690376.7649999999</v>
      </c>
      <c r="AK396" s="1">
        <v>443835.989</v>
      </c>
      <c r="AL396" s="1">
        <v>1305008.7139999999</v>
      </c>
    </row>
    <row r="397" spans="1:38" x14ac:dyDescent="0.2">
      <c r="A397">
        <v>436</v>
      </c>
      <c r="B397" t="s">
        <v>291</v>
      </c>
      <c r="C397" t="s">
        <v>747</v>
      </c>
      <c r="D397" t="s">
        <v>983</v>
      </c>
      <c r="E397" t="s">
        <v>1141</v>
      </c>
      <c r="F397" t="s">
        <v>1301</v>
      </c>
      <c r="G397" s="7">
        <v>500</v>
      </c>
      <c r="H397" t="str">
        <f t="shared" si="34"/>
        <v>Z</v>
      </c>
      <c r="I397" s="1">
        <v>1176845.676</v>
      </c>
      <c r="J397" s="1">
        <v>-52071</v>
      </c>
      <c r="K397" s="1">
        <v>-57705</v>
      </c>
      <c r="L397" s="1">
        <v>-57705</v>
      </c>
      <c r="M397" s="1">
        <v>42151</v>
      </c>
      <c r="N397" s="1">
        <v>0</v>
      </c>
      <c r="O397" s="2">
        <f t="shared" si="30"/>
        <v>0</v>
      </c>
      <c r="P397">
        <f t="shared" si="31"/>
        <v>0</v>
      </c>
      <c r="Q397" s="1">
        <v>3056</v>
      </c>
      <c r="R397" s="1">
        <v>176524.715</v>
      </c>
      <c r="S397" s="1">
        <v>534225</v>
      </c>
      <c r="T397" s="1">
        <v>135468</v>
      </c>
      <c r="U397" s="1">
        <v>398757</v>
      </c>
      <c r="V397" s="1">
        <v>21146</v>
      </c>
      <c r="W397" s="1">
        <v>513079.97399999999</v>
      </c>
      <c r="X397" s="1">
        <v>2504640.0809999998</v>
      </c>
      <c r="Y397" s="1">
        <v>53036.224000000002</v>
      </c>
      <c r="Z397" s="1">
        <v>25725.582999999999</v>
      </c>
      <c r="AA397" s="1">
        <v>33634.313999999998</v>
      </c>
      <c r="AB397" s="1">
        <v>53218.069000000003</v>
      </c>
      <c r="AC397" s="1">
        <v>0</v>
      </c>
      <c r="AD397" s="2">
        <f t="shared" si="32"/>
        <v>0</v>
      </c>
      <c r="AE397">
        <f t="shared" si="33"/>
        <v>0</v>
      </c>
      <c r="AF397" s="1">
        <v>3910</v>
      </c>
      <c r="AG397" s="1">
        <v>330831.55599999998</v>
      </c>
      <c r="AH397" s="1">
        <v>922416.18200000003</v>
      </c>
      <c r="AI397" s="1">
        <v>284318.55099999998</v>
      </c>
      <c r="AJ397" s="1">
        <v>638097.63100000005</v>
      </c>
      <c r="AK397" s="1">
        <v>88903.510999999999</v>
      </c>
      <c r="AL397" s="1">
        <v>833512.67099999997</v>
      </c>
    </row>
    <row r="398" spans="1:38" x14ac:dyDescent="0.2">
      <c r="A398">
        <v>437</v>
      </c>
      <c r="B398" t="s">
        <v>466</v>
      </c>
      <c r="C398" t="s">
        <v>922</v>
      </c>
      <c r="D398" t="s">
        <v>1097</v>
      </c>
      <c r="E398" t="s">
        <v>1273</v>
      </c>
      <c r="F398" t="s">
        <v>1306</v>
      </c>
      <c r="G398" s="7">
        <v>450</v>
      </c>
      <c r="H398" t="str">
        <f t="shared" si="34"/>
        <v>K</v>
      </c>
      <c r="I398" s="1">
        <v>1176618</v>
      </c>
      <c r="J398" s="1">
        <v>84237</v>
      </c>
      <c r="K398" s="1">
        <v>63329</v>
      </c>
      <c r="L398" s="1">
        <v>45200</v>
      </c>
      <c r="M398" s="1">
        <v>57074</v>
      </c>
      <c r="N398" s="1">
        <v>992906</v>
      </c>
      <c r="O398" s="2">
        <f t="shared" si="30"/>
        <v>0.84386436379521645</v>
      </c>
      <c r="P398">
        <f t="shared" si="31"/>
        <v>1</v>
      </c>
      <c r="Q398" s="1">
        <v>3524</v>
      </c>
      <c r="R398" s="1">
        <v>233547</v>
      </c>
      <c r="S398" s="1">
        <v>1571021</v>
      </c>
      <c r="T398" s="1">
        <v>1168776</v>
      </c>
      <c r="U398" s="1">
        <v>402245</v>
      </c>
      <c r="V398" s="1">
        <v>781202</v>
      </c>
      <c r="W398" s="1">
        <v>789819</v>
      </c>
      <c r="X398" s="1">
        <v>1101412</v>
      </c>
      <c r="Y398" s="1">
        <v>71488</v>
      </c>
      <c r="Z398" s="1">
        <v>61695</v>
      </c>
      <c r="AA398" s="1">
        <v>49991</v>
      </c>
      <c r="AB398" s="1">
        <v>55826</v>
      </c>
      <c r="AC398" s="1">
        <v>824906</v>
      </c>
      <c r="AD398" s="2">
        <f t="shared" si="32"/>
        <v>0.7489531619412173</v>
      </c>
      <c r="AE398">
        <f t="shared" si="33"/>
        <v>1</v>
      </c>
      <c r="AF398" s="1">
        <v>2392</v>
      </c>
      <c r="AG398" s="1">
        <v>251401</v>
      </c>
      <c r="AH398" s="1">
        <v>1480510</v>
      </c>
      <c r="AI398" s="1">
        <v>871104</v>
      </c>
      <c r="AJ398" s="1">
        <v>609406</v>
      </c>
      <c r="AK398" s="1">
        <v>929700</v>
      </c>
      <c r="AL398" s="1">
        <v>550810</v>
      </c>
    </row>
    <row r="399" spans="1:38" x14ac:dyDescent="0.2">
      <c r="A399">
        <v>438</v>
      </c>
      <c r="B399" t="s">
        <v>444</v>
      </c>
      <c r="C399" t="s">
        <v>901</v>
      </c>
      <c r="D399" t="s">
        <v>1080</v>
      </c>
      <c r="E399" t="s">
        <v>1255</v>
      </c>
      <c r="F399" t="s">
        <v>1305</v>
      </c>
      <c r="G399" s="7">
        <v>540</v>
      </c>
      <c r="H399" t="str">
        <f t="shared" si="34"/>
        <v>Z</v>
      </c>
      <c r="I399" s="1">
        <v>1175877</v>
      </c>
      <c r="J399" s="1">
        <v>85229</v>
      </c>
      <c r="K399" s="1">
        <v>90759</v>
      </c>
      <c r="L399" s="1">
        <v>97318</v>
      </c>
      <c r="M399" s="1">
        <v>91648</v>
      </c>
      <c r="N399" s="1">
        <v>1061077</v>
      </c>
      <c r="O399" s="2">
        <f t="shared" si="30"/>
        <v>0.90237074115745097</v>
      </c>
      <c r="P399">
        <f t="shared" si="31"/>
        <v>1</v>
      </c>
      <c r="Q399" s="1">
        <v>2077</v>
      </c>
      <c r="R399" s="1">
        <v>166029</v>
      </c>
      <c r="S399" s="1">
        <v>1020296</v>
      </c>
      <c r="T399" s="1">
        <v>548589</v>
      </c>
      <c r="U399" s="1">
        <v>471707</v>
      </c>
      <c r="V399" s="1">
        <v>781794</v>
      </c>
      <c r="W399" s="1">
        <v>238502</v>
      </c>
      <c r="X399" s="1">
        <v>1314491</v>
      </c>
      <c r="Y399" s="1">
        <v>52880</v>
      </c>
      <c r="Z399" s="1">
        <v>72406</v>
      </c>
      <c r="AA399" s="1">
        <v>63000</v>
      </c>
      <c r="AB399" s="1">
        <v>66157</v>
      </c>
      <c r="AC399" s="1">
        <v>1219080</v>
      </c>
      <c r="AD399" s="2">
        <f t="shared" si="32"/>
        <v>0.92741601121650885</v>
      </c>
      <c r="AE399">
        <f t="shared" si="33"/>
        <v>1</v>
      </c>
      <c r="AF399" s="1">
        <v>1793</v>
      </c>
      <c r="AG399" s="1">
        <v>205477</v>
      </c>
      <c r="AH399" s="1">
        <v>1040554</v>
      </c>
      <c r="AI399" s="1">
        <v>378651</v>
      </c>
      <c r="AJ399" s="1">
        <v>661903</v>
      </c>
      <c r="AK399" s="1">
        <v>684809</v>
      </c>
      <c r="AL399" s="1">
        <v>355745</v>
      </c>
    </row>
    <row r="400" spans="1:38" x14ac:dyDescent="0.2">
      <c r="A400">
        <v>439</v>
      </c>
      <c r="B400" t="s">
        <v>390</v>
      </c>
      <c r="C400" t="s">
        <v>847</v>
      </c>
      <c r="D400" t="s">
        <v>39</v>
      </c>
      <c r="E400" t="s">
        <v>1157</v>
      </c>
      <c r="F400" t="s">
        <v>1308</v>
      </c>
      <c r="G400" s="7">
        <v>500</v>
      </c>
      <c r="H400" t="str">
        <f t="shared" si="34"/>
        <v>Z</v>
      </c>
      <c r="I400" s="1">
        <v>1175225</v>
      </c>
      <c r="J400" s="1">
        <v>105165</v>
      </c>
      <c r="K400" s="1">
        <v>108124</v>
      </c>
      <c r="L400" s="1">
        <v>87392</v>
      </c>
      <c r="M400" s="1">
        <v>13034</v>
      </c>
      <c r="N400" s="1">
        <v>0</v>
      </c>
      <c r="O400" s="2">
        <f t="shared" si="30"/>
        <v>0</v>
      </c>
      <c r="P400">
        <f t="shared" si="31"/>
        <v>0</v>
      </c>
      <c r="Q400" s="1">
        <v>532</v>
      </c>
      <c r="R400" s="1">
        <v>55397.392269999997</v>
      </c>
      <c r="S400" s="1">
        <v>709990</v>
      </c>
      <c r="T400" s="1">
        <v>441398</v>
      </c>
      <c r="U400" s="1">
        <v>268592</v>
      </c>
      <c r="V400" s="1">
        <v>622016</v>
      </c>
      <c r="W400" s="1">
        <v>87973.534269999989</v>
      </c>
      <c r="X400" s="1">
        <v>1672710.2707</v>
      </c>
      <c r="Y400" s="1">
        <v>111693.592</v>
      </c>
      <c r="Z400" s="1">
        <v>137518.93343999999</v>
      </c>
      <c r="AA400" s="1">
        <v>111136.21767</v>
      </c>
      <c r="AB400" s="1">
        <v>15024.125620000001</v>
      </c>
      <c r="AC400" s="1">
        <v>224678.443560424</v>
      </c>
      <c r="AD400" s="2">
        <f t="shared" si="32"/>
        <v>0.13431999999999999</v>
      </c>
      <c r="AE400">
        <f t="shared" si="33"/>
        <v>0</v>
      </c>
      <c r="AF400" s="1">
        <v>448</v>
      </c>
      <c r="AG400" s="1">
        <v>77810.905100000004</v>
      </c>
      <c r="AH400" s="1">
        <v>1178814.2895500001</v>
      </c>
      <c r="AI400" s="1">
        <v>616461.01827999996</v>
      </c>
      <c r="AJ400" s="1">
        <v>562353.27127000003</v>
      </c>
      <c r="AK400" s="1">
        <v>1054869.3383800001</v>
      </c>
      <c r="AL400" s="1">
        <v>123944.95117</v>
      </c>
    </row>
    <row r="401" spans="1:38" x14ac:dyDescent="0.2">
      <c r="A401">
        <v>440</v>
      </c>
      <c r="B401" t="s">
        <v>412</v>
      </c>
      <c r="C401" t="s">
        <v>869</v>
      </c>
      <c r="D401" t="s">
        <v>1017</v>
      </c>
      <c r="E401" t="s">
        <v>1181</v>
      </c>
      <c r="F401" t="s">
        <v>1306</v>
      </c>
      <c r="G401" s="7">
        <v>500</v>
      </c>
      <c r="H401" t="str">
        <f t="shared" si="34"/>
        <v>Z</v>
      </c>
      <c r="I401" s="1">
        <v>1169265</v>
      </c>
      <c r="J401" s="1">
        <v>235319</v>
      </c>
      <c r="K401" s="1">
        <v>70042</v>
      </c>
      <c r="L401" s="1">
        <v>72461</v>
      </c>
      <c r="M401" s="1">
        <v>35677</v>
      </c>
      <c r="N401" s="1">
        <v>670565</v>
      </c>
      <c r="O401" s="2">
        <f t="shared" si="30"/>
        <v>0.57349274971884046</v>
      </c>
      <c r="P401">
        <f t="shared" si="31"/>
        <v>1</v>
      </c>
      <c r="Q401" s="1">
        <v>744</v>
      </c>
      <c r="R401" s="1">
        <v>60414</v>
      </c>
      <c r="S401" s="1">
        <v>1737954</v>
      </c>
      <c r="T401" s="1">
        <v>1278556</v>
      </c>
      <c r="U401" s="1">
        <v>459398</v>
      </c>
      <c r="V401" s="1">
        <v>1035305</v>
      </c>
      <c r="W401" s="1">
        <v>702649</v>
      </c>
      <c r="X401" s="1">
        <v>1550368</v>
      </c>
      <c r="Y401" s="1">
        <v>83754</v>
      </c>
      <c r="Z401" s="1">
        <v>62161</v>
      </c>
      <c r="AA401" s="1">
        <v>49778</v>
      </c>
      <c r="AB401" s="1">
        <v>40310</v>
      </c>
      <c r="AC401" s="1">
        <v>831847</v>
      </c>
      <c r="AD401" s="2">
        <f t="shared" si="32"/>
        <v>0.5365480969679457</v>
      </c>
      <c r="AE401">
        <f t="shared" si="33"/>
        <v>1</v>
      </c>
      <c r="AF401" s="1">
        <v>721</v>
      </c>
      <c r="AG401" s="1">
        <v>102998</v>
      </c>
      <c r="AH401" s="1">
        <v>1209722</v>
      </c>
      <c r="AI401" s="1">
        <v>573350</v>
      </c>
      <c r="AJ401" s="1">
        <v>636372</v>
      </c>
      <c r="AK401" s="1">
        <v>694548</v>
      </c>
      <c r="AL401" s="1">
        <v>515174</v>
      </c>
    </row>
    <row r="402" spans="1:38" x14ac:dyDescent="0.2">
      <c r="A402">
        <v>441</v>
      </c>
      <c r="B402" t="s">
        <v>386</v>
      </c>
      <c r="C402" t="s">
        <v>843</v>
      </c>
      <c r="D402" t="s">
        <v>992</v>
      </c>
      <c r="E402" t="s">
        <v>1152</v>
      </c>
      <c r="F402" t="s">
        <v>1307</v>
      </c>
      <c r="G402" s="7">
        <v>100</v>
      </c>
      <c r="H402" t="str">
        <f t="shared" si="34"/>
        <v>K</v>
      </c>
      <c r="I402" s="1">
        <v>1165223</v>
      </c>
      <c r="J402" s="1">
        <v>5529</v>
      </c>
      <c r="K402" s="1">
        <v>6993.2</v>
      </c>
      <c r="L402" s="1">
        <v>6397</v>
      </c>
      <c r="M402" s="1">
        <v>1919</v>
      </c>
      <c r="N402" s="1">
        <v>35354</v>
      </c>
      <c r="O402" s="2">
        <f t="shared" si="30"/>
        <v>3.0340973358747639E-2</v>
      </c>
      <c r="P402">
        <f t="shared" si="31"/>
        <v>0</v>
      </c>
      <c r="Q402" s="1">
        <v>302</v>
      </c>
      <c r="R402" s="1">
        <v>20735.416959999999</v>
      </c>
      <c r="S402" s="1">
        <v>297311.2</v>
      </c>
      <c r="T402" s="1">
        <v>11543.8</v>
      </c>
      <c r="U402" s="1">
        <v>285767.40000000002</v>
      </c>
      <c r="V402" s="1">
        <v>76094</v>
      </c>
      <c r="W402" s="1">
        <v>221217.14885</v>
      </c>
      <c r="X402" s="1">
        <v>1702903.1446499999</v>
      </c>
      <c r="Y402" s="1">
        <v>9967.4634899997982</v>
      </c>
      <c r="Z402" s="1">
        <v>16989.1036899998</v>
      </c>
      <c r="AA402" s="1">
        <v>14015.94671</v>
      </c>
      <c r="AB402" s="1">
        <v>1404.5304599999999</v>
      </c>
      <c r="AC402" s="1">
        <v>48233.286460000003</v>
      </c>
      <c r="AD402" s="2">
        <f t="shared" si="32"/>
        <v>2.8324151383203568E-2</v>
      </c>
      <c r="AE402">
        <f t="shared" si="33"/>
        <v>0</v>
      </c>
      <c r="AF402" s="1">
        <v>254</v>
      </c>
      <c r="AG402" s="1">
        <v>24089.89085</v>
      </c>
      <c r="AH402" s="1">
        <v>657018.69492999988</v>
      </c>
      <c r="AI402" s="1">
        <v>23359.89347000001</v>
      </c>
      <c r="AJ402" s="1">
        <v>633658.80145999987</v>
      </c>
      <c r="AK402" s="1">
        <v>106348.25118000001</v>
      </c>
      <c r="AL402" s="1">
        <v>550670.44374999998</v>
      </c>
    </row>
    <row r="403" spans="1:38" x14ac:dyDescent="0.2">
      <c r="A403">
        <v>442</v>
      </c>
      <c r="B403" t="s">
        <v>465</v>
      </c>
      <c r="C403" t="s">
        <v>921</v>
      </c>
      <c r="D403" t="s">
        <v>1016</v>
      </c>
      <c r="E403" t="s">
        <v>1179</v>
      </c>
      <c r="F403" t="s">
        <v>1306</v>
      </c>
      <c r="G403" s="7">
        <v>500</v>
      </c>
      <c r="H403" t="str">
        <f t="shared" si="34"/>
        <v>Z</v>
      </c>
      <c r="I403" s="1">
        <v>1163027.416</v>
      </c>
      <c r="J403" s="1">
        <v>44791</v>
      </c>
      <c r="K403" s="1">
        <v>40320</v>
      </c>
      <c r="L403" s="1">
        <v>48179</v>
      </c>
      <c r="M403" s="1">
        <v>104985</v>
      </c>
      <c r="N403" s="1">
        <v>58151.370799999997</v>
      </c>
      <c r="O403" s="2">
        <f t="shared" si="30"/>
        <v>4.9999999999999996E-2</v>
      </c>
      <c r="P403">
        <f t="shared" si="31"/>
        <v>0</v>
      </c>
      <c r="Q403" s="1">
        <v>1018</v>
      </c>
      <c r="R403" s="1">
        <v>117434.0863</v>
      </c>
      <c r="S403" s="1">
        <v>1377973</v>
      </c>
      <c r="T403" s="1">
        <v>983280</v>
      </c>
      <c r="U403" s="1">
        <v>394693</v>
      </c>
      <c r="V403" s="1">
        <v>729917</v>
      </c>
      <c r="W403" s="1">
        <v>648056.10855</v>
      </c>
      <c r="X403" s="1">
        <v>1102534</v>
      </c>
      <c r="Y403" s="1">
        <v>35560</v>
      </c>
      <c r="Z403" s="1">
        <v>35839</v>
      </c>
      <c r="AA403" s="1">
        <v>41132</v>
      </c>
      <c r="AB403" s="1">
        <v>93750</v>
      </c>
      <c r="AC403" s="1">
        <v>32840</v>
      </c>
      <c r="AD403" s="2">
        <f t="shared" si="32"/>
        <v>2.9785929504214836E-2</v>
      </c>
      <c r="AE403">
        <f t="shared" si="33"/>
        <v>0</v>
      </c>
      <c r="AF403" s="1">
        <v>1003</v>
      </c>
      <c r="AG403" s="1">
        <v>145564</v>
      </c>
      <c r="AH403" s="1">
        <v>1335670</v>
      </c>
      <c r="AI403" s="1">
        <v>969747</v>
      </c>
      <c r="AJ403" s="1">
        <v>365923</v>
      </c>
      <c r="AK403" s="1">
        <v>1115579</v>
      </c>
      <c r="AL403" s="1">
        <v>220091</v>
      </c>
    </row>
    <row r="404" spans="1:38" x14ac:dyDescent="0.2">
      <c r="A404">
        <v>443</v>
      </c>
      <c r="B404" t="s">
        <v>464</v>
      </c>
      <c r="C404" t="s">
        <v>920</v>
      </c>
      <c r="D404" t="s">
        <v>1036</v>
      </c>
      <c r="E404" t="s">
        <v>1210</v>
      </c>
      <c r="F404" t="s">
        <v>1305</v>
      </c>
      <c r="G404" s="7">
        <v>500</v>
      </c>
      <c r="H404" t="str">
        <f t="shared" si="34"/>
        <v>Z</v>
      </c>
      <c r="I404" s="1">
        <v>1161482</v>
      </c>
      <c r="J404" s="1">
        <v>89393</v>
      </c>
      <c r="K404" s="1">
        <v>53153</v>
      </c>
      <c r="L404" s="1">
        <v>42165</v>
      </c>
      <c r="M404" s="1">
        <v>30691</v>
      </c>
      <c r="N404" s="1">
        <v>877611</v>
      </c>
      <c r="O404" s="2">
        <f t="shared" si="30"/>
        <v>0.75559586803755896</v>
      </c>
      <c r="P404">
        <f t="shared" si="31"/>
        <v>1</v>
      </c>
      <c r="Q404" s="1">
        <v>1671</v>
      </c>
      <c r="R404" s="1">
        <v>174002</v>
      </c>
      <c r="S404" s="1">
        <v>1512018</v>
      </c>
      <c r="T404" s="1">
        <v>1031148</v>
      </c>
      <c r="U404" s="1">
        <v>480870</v>
      </c>
      <c r="V404" s="1">
        <v>494835</v>
      </c>
      <c r="W404" s="1">
        <v>1017183</v>
      </c>
      <c r="X404" s="1">
        <v>1118316</v>
      </c>
      <c r="Y404" s="1">
        <v>32010</v>
      </c>
      <c r="Z404" s="1">
        <v>99612</v>
      </c>
      <c r="AA404" s="1">
        <v>94335</v>
      </c>
      <c r="AB404" s="1">
        <v>44879</v>
      </c>
      <c r="AC404" s="1">
        <v>798371</v>
      </c>
      <c r="AD404" s="2">
        <f t="shared" si="32"/>
        <v>0.71390465664445468</v>
      </c>
      <c r="AE404">
        <f t="shared" si="33"/>
        <v>1</v>
      </c>
      <c r="AF404" s="1">
        <v>1325</v>
      </c>
      <c r="AG404" s="1">
        <v>179455</v>
      </c>
      <c r="AH404" s="1">
        <v>1201766</v>
      </c>
      <c r="AI404" s="1">
        <v>871889</v>
      </c>
      <c r="AJ404" s="1">
        <v>329877</v>
      </c>
      <c r="AK404" s="1">
        <v>106916</v>
      </c>
      <c r="AL404" s="1">
        <v>1094850</v>
      </c>
    </row>
    <row r="405" spans="1:38" x14ac:dyDescent="0.2">
      <c r="A405">
        <v>444</v>
      </c>
      <c r="B405" t="s">
        <v>507</v>
      </c>
      <c r="C405" t="s">
        <v>961</v>
      </c>
      <c r="D405" t="s">
        <v>973</v>
      </c>
      <c r="E405" t="s">
        <v>1130</v>
      </c>
      <c r="F405" t="s">
        <v>1308</v>
      </c>
      <c r="G405" s="7">
        <v>400</v>
      </c>
      <c r="H405" t="str">
        <f t="shared" si="34"/>
        <v>K</v>
      </c>
      <c r="I405" s="1">
        <v>1159632</v>
      </c>
      <c r="J405" s="1">
        <v>49968</v>
      </c>
      <c r="K405" s="1">
        <v>43621</v>
      </c>
      <c r="L405" s="1">
        <v>35364</v>
      </c>
      <c r="M405" s="1">
        <v>21298</v>
      </c>
      <c r="N405" s="1">
        <v>272585</v>
      </c>
      <c r="O405" s="2">
        <f t="shared" si="30"/>
        <v>0.23506164024449136</v>
      </c>
      <c r="P405">
        <f t="shared" si="31"/>
        <v>0</v>
      </c>
      <c r="Q405" s="1">
        <v>1359</v>
      </c>
      <c r="R405" s="1">
        <v>118186</v>
      </c>
      <c r="S405" s="1">
        <v>718784</v>
      </c>
      <c r="T405" s="1">
        <v>351207</v>
      </c>
      <c r="U405" s="1">
        <v>367577</v>
      </c>
      <c r="V405" s="1">
        <v>389276</v>
      </c>
      <c r="W405" s="1">
        <v>329508</v>
      </c>
      <c r="X405" s="1">
        <v>875572</v>
      </c>
      <c r="Y405" s="1">
        <v>30131</v>
      </c>
      <c r="Z405" s="1">
        <v>28572</v>
      </c>
      <c r="AA405" s="1">
        <v>18992</v>
      </c>
      <c r="AB405" s="1">
        <v>13480</v>
      </c>
      <c r="AC405" s="1">
        <v>202819</v>
      </c>
      <c r="AD405" s="2">
        <f t="shared" si="32"/>
        <v>0.23164171535864556</v>
      </c>
      <c r="AE405">
        <f t="shared" si="33"/>
        <v>0</v>
      </c>
      <c r="AF405" s="1">
        <v>540</v>
      </c>
      <c r="AG405" s="1">
        <v>89766</v>
      </c>
      <c r="AH405" s="1">
        <v>624910</v>
      </c>
      <c r="AI405" s="1">
        <v>208626</v>
      </c>
      <c r="AJ405" s="1">
        <v>416284</v>
      </c>
      <c r="AK405" s="1">
        <v>358980</v>
      </c>
      <c r="AL405" s="1">
        <v>265930</v>
      </c>
    </row>
    <row r="406" spans="1:38" x14ac:dyDescent="0.2">
      <c r="A406">
        <v>445</v>
      </c>
      <c r="B406" t="s">
        <v>486</v>
      </c>
      <c r="C406" t="s">
        <v>942</v>
      </c>
      <c r="D406" t="s">
        <v>968</v>
      </c>
      <c r="E406" t="s">
        <v>1125</v>
      </c>
      <c r="F406" t="s">
        <v>1302</v>
      </c>
      <c r="G406" s="7">
        <v>500</v>
      </c>
      <c r="H406" t="str">
        <f t="shared" si="34"/>
        <v>Z</v>
      </c>
      <c r="I406" s="1">
        <v>4743</v>
      </c>
      <c r="J406" s="1">
        <v>620.61870999999996</v>
      </c>
      <c r="K406" s="1">
        <v>1817.8553199999999</v>
      </c>
      <c r="L406" s="1">
        <v>1406</v>
      </c>
      <c r="M406" s="1">
        <v>147.4657</v>
      </c>
      <c r="N406" s="1">
        <v>0</v>
      </c>
      <c r="O406" s="2">
        <f t="shared" si="30"/>
        <v>0</v>
      </c>
      <c r="P406">
        <f t="shared" si="31"/>
        <v>0</v>
      </c>
      <c r="Q406" s="1">
        <v>8</v>
      </c>
      <c r="R406" s="1">
        <v>2801.27898</v>
      </c>
      <c r="S406" s="1">
        <v>16217.45385</v>
      </c>
      <c r="T406" s="1">
        <v>950.74756000000002</v>
      </c>
      <c r="U406" s="1">
        <v>15266.70629</v>
      </c>
      <c r="V406" s="1">
        <v>7397.1795400000001</v>
      </c>
      <c r="W406" s="1">
        <v>8820</v>
      </c>
      <c r="X406" s="1">
        <v>693964</v>
      </c>
      <c r="Y406" s="1">
        <v>26586</v>
      </c>
      <c r="Z406" s="1">
        <v>21937</v>
      </c>
      <c r="AA406" s="1">
        <v>19688</v>
      </c>
      <c r="AB406" s="1">
        <v>145</v>
      </c>
      <c r="AC406" s="1">
        <v>0</v>
      </c>
      <c r="AD406" s="2">
        <f t="shared" si="32"/>
        <v>0</v>
      </c>
      <c r="AE406">
        <f t="shared" si="33"/>
        <v>0</v>
      </c>
      <c r="AF406" s="1">
        <v>21</v>
      </c>
      <c r="AG406" s="1">
        <v>5293</v>
      </c>
      <c r="AH406" s="1">
        <v>162898</v>
      </c>
      <c r="AI406" s="1">
        <v>2655</v>
      </c>
      <c r="AJ406" s="1">
        <v>160243</v>
      </c>
      <c r="AK406" s="1">
        <v>27542</v>
      </c>
      <c r="AL406" s="1">
        <v>135356</v>
      </c>
    </row>
    <row r="407" spans="1:38" x14ac:dyDescent="0.2">
      <c r="A407">
        <v>446</v>
      </c>
      <c r="B407" t="s">
        <v>472</v>
      </c>
      <c r="C407" t="s">
        <v>928</v>
      </c>
      <c r="D407" t="s">
        <v>1095</v>
      </c>
      <c r="E407" t="s">
        <v>1271</v>
      </c>
      <c r="F407" t="s">
        <v>1304</v>
      </c>
      <c r="G407" s="7">
        <v>400</v>
      </c>
      <c r="H407" t="str">
        <f t="shared" si="34"/>
        <v>K</v>
      </c>
      <c r="I407" s="1">
        <v>1155196</v>
      </c>
      <c r="J407" s="1">
        <v>35083</v>
      </c>
      <c r="K407" s="1">
        <v>30977</v>
      </c>
      <c r="L407" s="1">
        <v>26911</v>
      </c>
      <c r="M407" s="1">
        <v>2852</v>
      </c>
      <c r="N407" s="1">
        <v>348942</v>
      </c>
      <c r="O407" s="2">
        <f t="shared" si="30"/>
        <v>0.30206302653402539</v>
      </c>
      <c r="P407">
        <f t="shared" si="31"/>
        <v>0</v>
      </c>
      <c r="Q407" s="1">
        <v>104</v>
      </c>
      <c r="R407" s="1">
        <v>18689</v>
      </c>
      <c r="S407" s="1">
        <v>560478</v>
      </c>
      <c r="T407" s="1">
        <v>267568</v>
      </c>
      <c r="U407" s="1">
        <v>292911</v>
      </c>
      <c r="V407" s="1">
        <v>268452</v>
      </c>
      <c r="W407" s="1">
        <v>292027</v>
      </c>
      <c r="X407" s="1">
        <v>1011734.67</v>
      </c>
      <c r="Y407" s="1">
        <v>28616.984</v>
      </c>
      <c r="Z407" s="1">
        <v>12575.263999999999</v>
      </c>
      <c r="AA407" s="1">
        <v>9902.3459999999995</v>
      </c>
      <c r="AB407" s="1">
        <v>2664</v>
      </c>
      <c r="AC407" s="1">
        <v>235794</v>
      </c>
      <c r="AD407" s="2">
        <f t="shared" si="32"/>
        <v>0.23305912804194007</v>
      </c>
      <c r="AE407">
        <f t="shared" si="33"/>
        <v>0</v>
      </c>
      <c r="AF407" s="1">
        <v>68</v>
      </c>
      <c r="AG407" s="1">
        <v>12511</v>
      </c>
      <c r="AH407" s="1">
        <v>466386.79100000003</v>
      </c>
      <c r="AI407" s="1">
        <v>255202.68100000001</v>
      </c>
      <c r="AJ407" s="1">
        <v>211184.11</v>
      </c>
      <c r="AK407" s="1">
        <v>249114.071</v>
      </c>
      <c r="AL407" s="1">
        <v>217272.72</v>
      </c>
    </row>
    <row r="408" spans="1:38" x14ac:dyDescent="0.2">
      <c r="A408">
        <v>447</v>
      </c>
      <c r="B408" t="s">
        <v>375</v>
      </c>
      <c r="C408" t="s">
        <v>832</v>
      </c>
      <c r="D408" t="s">
        <v>965</v>
      </c>
      <c r="E408" t="s">
        <v>1122</v>
      </c>
      <c r="F408" t="s">
        <v>1308</v>
      </c>
      <c r="G408" s="7">
        <v>400</v>
      </c>
      <c r="H408" t="str">
        <f t="shared" si="34"/>
        <v>K</v>
      </c>
      <c r="I408" s="1">
        <v>1152218</v>
      </c>
      <c r="J408" s="1">
        <v>78109</v>
      </c>
      <c r="K408" s="1">
        <v>80111</v>
      </c>
      <c r="L408" s="1">
        <v>52625</v>
      </c>
      <c r="M408" s="1">
        <v>46222</v>
      </c>
      <c r="N408" s="1">
        <v>308944</v>
      </c>
      <c r="O408" s="2">
        <f t="shared" si="30"/>
        <v>0.26812981571195726</v>
      </c>
      <c r="P408">
        <f t="shared" si="31"/>
        <v>0</v>
      </c>
      <c r="Q408" s="1">
        <v>2098</v>
      </c>
      <c r="R408" s="1">
        <v>171482</v>
      </c>
      <c r="S408" s="1">
        <v>1274637</v>
      </c>
      <c r="T408" s="1">
        <v>819843</v>
      </c>
      <c r="U408" s="1">
        <v>454794</v>
      </c>
      <c r="V408" s="1">
        <v>748099</v>
      </c>
      <c r="W408" s="1">
        <v>528995</v>
      </c>
      <c r="X408" s="1">
        <v>1748431</v>
      </c>
      <c r="Y408" s="1">
        <v>191952</v>
      </c>
      <c r="Z408" s="1">
        <v>195490</v>
      </c>
      <c r="AA408" s="1">
        <v>158281</v>
      </c>
      <c r="AB408" s="1">
        <v>32243</v>
      </c>
      <c r="AC408" s="1">
        <v>440098</v>
      </c>
      <c r="AD408" s="2">
        <f t="shared" si="32"/>
        <v>0.25171024764488847</v>
      </c>
      <c r="AE408">
        <f t="shared" si="33"/>
        <v>0</v>
      </c>
      <c r="AF408" s="1">
        <v>2330</v>
      </c>
      <c r="AG408" s="1">
        <v>271266</v>
      </c>
      <c r="AH408" s="1">
        <v>1655644</v>
      </c>
      <c r="AI408" s="1">
        <v>798111</v>
      </c>
      <c r="AJ408" s="1">
        <v>857533</v>
      </c>
      <c r="AK408" s="1">
        <v>604976</v>
      </c>
      <c r="AL408" s="1">
        <v>1050668</v>
      </c>
    </row>
    <row r="409" spans="1:38" x14ac:dyDescent="0.2">
      <c r="A409">
        <v>448</v>
      </c>
      <c r="B409" t="s">
        <v>393</v>
      </c>
      <c r="C409" t="s">
        <v>850</v>
      </c>
      <c r="D409" t="s">
        <v>1084</v>
      </c>
      <c r="E409" t="s">
        <v>1259</v>
      </c>
      <c r="F409" t="s">
        <v>1306</v>
      </c>
      <c r="G409" s="7">
        <v>500</v>
      </c>
      <c r="H409" t="str">
        <f t="shared" si="34"/>
        <v>Z</v>
      </c>
      <c r="I409" s="1">
        <v>1147775</v>
      </c>
      <c r="J409" s="1">
        <v>25785</v>
      </c>
      <c r="K409" s="1">
        <v>23882</v>
      </c>
      <c r="L409" s="1">
        <v>19182</v>
      </c>
      <c r="M409" s="1">
        <v>11953</v>
      </c>
      <c r="N409" s="1">
        <v>1013688</v>
      </c>
      <c r="O409" s="2">
        <f t="shared" si="30"/>
        <v>0.88317658077584893</v>
      </c>
      <c r="P409">
        <f t="shared" si="31"/>
        <v>1</v>
      </c>
      <c r="Q409" s="1">
        <v>507</v>
      </c>
      <c r="R409" s="1">
        <v>40794</v>
      </c>
      <c r="S409" s="1">
        <v>308921</v>
      </c>
      <c r="T409" s="1">
        <v>109343</v>
      </c>
      <c r="U409" s="1">
        <v>199578</v>
      </c>
      <c r="V409" s="1">
        <v>168636</v>
      </c>
      <c r="W409" s="1">
        <v>140285</v>
      </c>
      <c r="X409" s="1">
        <v>1655718</v>
      </c>
      <c r="Y409" s="1">
        <v>40425</v>
      </c>
      <c r="Z409" s="1">
        <v>23475</v>
      </c>
      <c r="AA409" s="1">
        <v>17896</v>
      </c>
      <c r="AB409" s="1">
        <v>13579</v>
      </c>
      <c r="AC409" s="1">
        <v>1554062</v>
      </c>
      <c r="AD409" s="2">
        <f t="shared" si="32"/>
        <v>0.93860307129595744</v>
      </c>
      <c r="AE409">
        <f t="shared" si="33"/>
        <v>1</v>
      </c>
      <c r="AF409" s="1">
        <v>425</v>
      </c>
      <c r="AG409" s="1">
        <v>51160</v>
      </c>
      <c r="AH409" s="1">
        <v>360546</v>
      </c>
      <c r="AI409" s="1">
        <v>134453</v>
      </c>
      <c r="AJ409" s="1">
        <v>226093</v>
      </c>
      <c r="AK409" s="1">
        <v>159995</v>
      </c>
      <c r="AL409" s="1">
        <v>200551</v>
      </c>
    </row>
    <row r="410" spans="1:38" x14ac:dyDescent="0.2">
      <c r="A410">
        <v>449</v>
      </c>
      <c r="B410" t="s">
        <v>427</v>
      </c>
      <c r="C410" t="s">
        <v>884</v>
      </c>
      <c r="D410" t="s">
        <v>1099</v>
      </c>
      <c r="E410" t="s">
        <v>1276</v>
      </c>
      <c r="F410" t="s">
        <v>1310</v>
      </c>
      <c r="G410" s="7">
        <v>450</v>
      </c>
      <c r="H410" t="str">
        <f t="shared" si="34"/>
        <v>K</v>
      </c>
      <c r="I410" s="1">
        <v>1015291.06346</v>
      </c>
      <c r="J410" s="1">
        <v>49204.024909999971</v>
      </c>
      <c r="K410" s="1">
        <v>34147.648829999969</v>
      </c>
      <c r="L410" s="1">
        <v>33285.826829999969</v>
      </c>
      <c r="M410" s="1">
        <v>8158.3849500000006</v>
      </c>
      <c r="N410" s="1">
        <v>21220.412700000001</v>
      </c>
      <c r="O410" s="2">
        <f t="shared" si="30"/>
        <v>2.0900816981175008E-2</v>
      </c>
      <c r="P410">
        <f t="shared" si="31"/>
        <v>0</v>
      </c>
      <c r="Q410" s="1">
        <v>70</v>
      </c>
      <c r="R410" s="1">
        <v>8746.1643100000001</v>
      </c>
      <c r="S410" s="1">
        <v>375626.08523999999</v>
      </c>
      <c r="T410" s="1">
        <v>231455.41709999999</v>
      </c>
      <c r="U410" s="1">
        <v>144170.66813999999</v>
      </c>
      <c r="V410" s="1">
        <v>149704.02384000001</v>
      </c>
      <c r="W410" s="1">
        <v>225922</v>
      </c>
      <c r="X410" s="1">
        <v>1457195.9540899999</v>
      </c>
      <c r="Y410" s="1">
        <v>59151.016989999996</v>
      </c>
      <c r="Z410" s="1">
        <v>49033.10583</v>
      </c>
      <c r="AA410" s="1">
        <v>38686.095179999997</v>
      </c>
      <c r="AB410" s="1">
        <v>10803.620929999999</v>
      </c>
      <c r="AC410" s="1">
        <v>30730</v>
      </c>
      <c r="AD410" s="2">
        <f t="shared" si="32"/>
        <v>2.1088447242629416E-2</v>
      </c>
      <c r="AE410">
        <f t="shared" si="33"/>
        <v>0</v>
      </c>
      <c r="AF410" s="1">
        <v>87</v>
      </c>
      <c r="AG410" s="1">
        <v>14566.98777</v>
      </c>
      <c r="AH410" s="1">
        <v>417712.63368000003</v>
      </c>
      <c r="AI410" s="1">
        <v>223110.87763999999</v>
      </c>
      <c r="AJ410" s="1">
        <v>194601.75604000001</v>
      </c>
      <c r="AK410" s="1">
        <v>208862.60394</v>
      </c>
      <c r="AL410" s="1">
        <v>208850.02974</v>
      </c>
    </row>
    <row r="411" spans="1:38" x14ac:dyDescent="0.2">
      <c r="A411">
        <v>450</v>
      </c>
      <c r="B411" t="s">
        <v>400</v>
      </c>
      <c r="C411" t="s">
        <v>857</v>
      </c>
      <c r="D411" t="s">
        <v>1036</v>
      </c>
      <c r="E411" t="s">
        <v>1210</v>
      </c>
      <c r="F411" t="s">
        <v>1305</v>
      </c>
      <c r="G411" s="7">
        <v>500</v>
      </c>
      <c r="H411" t="str">
        <f t="shared" si="34"/>
        <v>Z</v>
      </c>
      <c r="I411" s="1">
        <v>1140945</v>
      </c>
      <c r="J411" s="1">
        <v>131124</v>
      </c>
      <c r="K411" s="1">
        <v>131428</v>
      </c>
      <c r="L411" s="1">
        <v>130115</v>
      </c>
      <c r="M411" s="1">
        <v>46661</v>
      </c>
      <c r="N411" s="1">
        <v>819114</v>
      </c>
      <c r="O411" s="2">
        <f t="shared" si="30"/>
        <v>0.7179259298213323</v>
      </c>
      <c r="P411">
        <f t="shared" si="31"/>
        <v>1</v>
      </c>
      <c r="Q411" s="1">
        <v>1655</v>
      </c>
      <c r="R411" s="1">
        <v>158042.65791000001</v>
      </c>
      <c r="S411" s="1">
        <v>1003223</v>
      </c>
      <c r="T411" s="1">
        <v>416513</v>
      </c>
      <c r="U411" s="1">
        <v>586710</v>
      </c>
      <c r="V411" s="1">
        <v>768448</v>
      </c>
      <c r="W411" s="1">
        <v>234774.55545000001</v>
      </c>
      <c r="X411" s="1">
        <v>1611009.1217499999</v>
      </c>
      <c r="Y411" s="1">
        <v>142931.05308000001</v>
      </c>
      <c r="Z411" s="1">
        <v>139935.55798000001</v>
      </c>
      <c r="AA411" s="1">
        <v>128157.79333</v>
      </c>
      <c r="AB411" s="1">
        <v>84740.019969999994</v>
      </c>
      <c r="AC411" s="1">
        <v>1264433</v>
      </c>
      <c r="AD411" s="2">
        <f t="shared" si="32"/>
        <v>0.78487016797675069</v>
      </c>
      <c r="AE411">
        <f t="shared" si="33"/>
        <v>1</v>
      </c>
      <c r="AF411" s="1">
        <v>1718</v>
      </c>
      <c r="AG411" s="1">
        <v>239742.72712</v>
      </c>
      <c r="AH411" s="1">
        <v>1151368.6897799999</v>
      </c>
      <c r="AI411" s="1">
        <v>632457.74578999996</v>
      </c>
      <c r="AJ411" s="1">
        <v>518910.94399</v>
      </c>
      <c r="AK411" s="1">
        <v>817602.27537000005</v>
      </c>
      <c r="AL411" s="1">
        <v>333766.41441000003</v>
      </c>
    </row>
    <row r="412" spans="1:38" x14ac:dyDescent="0.2">
      <c r="A412">
        <v>451</v>
      </c>
      <c r="B412" t="s">
        <v>453</v>
      </c>
      <c r="C412" t="s">
        <v>910</v>
      </c>
      <c r="D412" t="s">
        <v>982</v>
      </c>
      <c r="E412" t="s">
        <v>1146</v>
      </c>
      <c r="F412" t="s">
        <v>1300</v>
      </c>
      <c r="G412" s="7">
        <v>500</v>
      </c>
      <c r="H412" t="str">
        <f t="shared" si="34"/>
        <v>Z</v>
      </c>
      <c r="I412" s="1">
        <v>1139705</v>
      </c>
      <c r="J412" s="1">
        <v>47383</v>
      </c>
      <c r="K412" s="1">
        <v>45621</v>
      </c>
      <c r="L412" s="1">
        <v>34562</v>
      </c>
      <c r="M412" s="1">
        <v>5300</v>
      </c>
      <c r="N412" s="1">
        <v>50485</v>
      </c>
      <c r="O412" s="2">
        <f t="shared" si="30"/>
        <v>4.4296550423135808E-2</v>
      </c>
      <c r="P412">
        <f t="shared" si="31"/>
        <v>0</v>
      </c>
      <c r="Q412" s="1">
        <v>129</v>
      </c>
      <c r="R412" s="1">
        <v>24610</v>
      </c>
      <c r="S412" s="1">
        <v>195615</v>
      </c>
      <c r="T412" s="1">
        <v>36889</v>
      </c>
      <c r="U412" s="1">
        <v>158726</v>
      </c>
      <c r="V412" s="1">
        <v>91659</v>
      </c>
      <c r="W412" s="1">
        <v>103956</v>
      </c>
      <c r="X412" s="1">
        <v>1263114</v>
      </c>
      <c r="Y412" s="1">
        <v>84976</v>
      </c>
      <c r="Z412" s="1">
        <v>89034</v>
      </c>
      <c r="AA412" s="1">
        <v>81300</v>
      </c>
      <c r="AB412" s="1">
        <v>3429</v>
      </c>
      <c r="AC412" s="1">
        <v>53099</v>
      </c>
      <c r="AD412" s="2">
        <f t="shared" si="32"/>
        <v>4.2038169159711633E-2</v>
      </c>
      <c r="AE412">
        <f t="shared" si="33"/>
        <v>0</v>
      </c>
      <c r="AF412" s="1">
        <v>143</v>
      </c>
      <c r="AG412" s="1">
        <v>44651</v>
      </c>
      <c r="AH412" s="1">
        <v>273978</v>
      </c>
      <c r="AI412" s="1">
        <v>32834</v>
      </c>
      <c r="AJ412" s="1">
        <v>241144</v>
      </c>
      <c r="AK412" s="1">
        <v>138397</v>
      </c>
      <c r="AL412" s="1">
        <v>135581</v>
      </c>
    </row>
    <row r="413" spans="1:38" x14ac:dyDescent="0.2">
      <c r="A413">
        <v>452</v>
      </c>
      <c r="B413" t="s">
        <v>396</v>
      </c>
      <c r="C413" t="s">
        <v>853</v>
      </c>
      <c r="D413" t="s">
        <v>1091</v>
      </c>
      <c r="E413" t="s">
        <v>1267</v>
      </c>
      <c r="F413" t="s">
        <v>1310</v>
      </c>
      <c r="G413" s="7">
        <v>400</v>
      </c>
      <c r="H413" t="str">
        <f t="shared" si="34"/>
        <v>K</v>
      </c>
      <c r="I413" s="1">
        <v>1136436</v>
      </c>
      <c r="J413" s="1">
        <v>88097</v>
      </c>
      <c r="K413" s="1">
        <v>73625</v>
      </c>
      <c r="L413" s="1">
        <v>62655</v>
      </c>
      <c r="M413" s="1">
        <v>141483</v>
      </c>
      <c r="N413" s="1">
        <v>498</v>
      </c>
      <c r="O413" s="2">
        <f t="shared" si="30"/>
        <v>4.3821209465381246E-4</v>
      </c>
      <c r="P413">
        <f t="shared" si="31"/>
        <v>0</v>
      </c>
      <c r="Q413" s="1">
        <v>1089</v>
      </c>
      <c r="R413" s="1">
        <v>70866</v>
      </c>
      <c r="S413" s="1">
        <v>2227110</v>
      </c>
      <c r="T413" s="1">
        <v>1855063</v>
      </c>
      <c r="U413" s="1">
        <v>372047</v>
      </c>
      <c r="V413" s="1">
        <v>1133725</v>
      </c>
      <c r="W413" s="1">
        <v>1093385.4842999999</v>
      </c>
      <c r="X413" s="1">
        <v>1646785.96114</v>
      </c>
      <c r="Y413" s="1">
        <v>193453.99595000001</v>
      </c>
      <c r="Z413" s="1">
        <v>134120.24935999999</v>
      </c>
      <c r="AA413" s="1">
        <v>110309.12536000001</v>
      </c>
      <c r="AB413" s="1">
        <v>220759</v>
      </c>
      <c r="AC413" s="1">
        <v>0</v>
      </c>
      <c r="AD413" s="2">
        <f t="shared" si="32"/>
        <v>0</v>
      </c>
      <c r="AE413">
        <f t="shared" si="33"/>
        <v>0</v>
      </c>
      <c r="AF413" s="1">
        <v>1209</v>
      </c>
      <c r="AG413" s="1">
        <v>135049</v>
      </c>
      <c r="AH413" s="1">
        <v>2823581.6340600001</v>
      </c>
      <c r="AI413" s="1">
        <v>2068243.2615</v>
      </c>
      <c r="AJ413" s="1">
        <v>755338.37255999993</v>
      </c>
      <c r="AK413" s="1">
        <v>1314592.5765800001</v>
      </c>
      <c r="AL413" s="1">
        <v>1508989.05748</v>
      </c>
    </row>
    <row r="414" spans="1:38" x14ac:dyDescent="0.2">
      <c r="A414">
        <v>453</v>
      </c>
      <c r="B414" t="s">
        <v>135</v>
      </c>
      <c r="C414" t="s">
        <v>591</v>
      </c>
      <c r="D414" t="s">
        <v>1007</v>
      </c>
      <c r="E414" t="s">
        <v>1169</v>
      </c>
      <c r="F414" t="s">
        <v>1220</v>
      </c>
      <c r="G414" s="7">
        <v>400</v>
      </c>
      <c r="H414" t="str">
        <f t="shared" si="34"/>
        <v>K</v>
      </c>
      <c r="I414" s="1">
        <v>3391746</v>
      </c>
      <c r="J414" s="1">
        <v>27898</v>
      </c>
      <c r="K414" s="1">
        <v>26075</v>
      </c>
      <c r="L414" s="1">
        <v>19094</v>
      </c>
      <c r="M414" s="1">
        <v>25403</v>
      </c>
      <c r="N414" s="1">
        <v>637745</v>
      </c>
      <c r="O414" s="2">
        <f t="shared" si="30"/>
        <v>0.18802852572097084</v>
      </c>
      <c r="P414">
        <f t="shared" si="31"/>
        <v>0</v>
      </c>
      <c r="Q414" s="1">
        <v>803</v>
      </c>
      <c r="R414" s="1">
        <v>78041</v>
      </c>
      <c r="S414" s="1">
        <v>580962</v>
      </c>
      <c r="T414" s="1">
        <v>259434</v>
      </c>
      <c r="U414" s="1">
        <v>321528</v>
      </c>
      <c r="V414" s="1">
        <v>180771</v>
      </c>
      <c r="W414" s="1">
        <v>170264</v>
      </c>
      <c r="X414" s="1">
        <v>6816242</v>
      </c>
      <c r="Y414" s="1">
        <v>312063</v>
      </c>
      <c r="Z414" s="1">
        <v>324934</v>
      </c>
      <c r="AA414" s="1">
        <v>247317</v>
      </c>
      <c r="AB414" s="1">
        <v>12735</v>
      </c>
      <c r="AC414" s="1">
        <v>2054774</v>
      </c>
      <c r="AD414" s="2">
        <f t="shared" si="32"/>
        <v>0.30145261861301287</v>
      </c>
      <c r="AE414">
        <f t="shared" si="33"/>
        <v>0</v>
      </c>
      <c r="AF414" s="1">
        <v>1026</v>
      </c>
      <c r="AG414" s="1">
        <v>136864</v>
      </c>
      <c r="AH414" s="1">
        <v>1693168</v>
      </c>
      <c r="AI414" s="1">
        <v>450334</v>
      </c>
      <c r="AJ414" s="1">
        <v>1242834</v>
      </c>
      <c r="AK414" s="1">
        <v>911382</v>
      </c>
      <c r="AL414" s="1">
        <v>752083</v>
      </c>
    </row>
    <row r="415" spans="1:38" x14ac:dyDescent="0.2">
      <c r="A415">
        <v>454</v>
      </c>
      <c r="B415" t="s">
        <v>378</v>
      </c>
      <c r="C415" t="s">
        <v>835</v>
      </c>
      <c r="D415" t="s">
        <v>38</v>
      </c>
      <c r="E415" t="s">
        <v>1191</v>
      </c>
      <c r="F415" t="s">
        <v>1308</v>
      </c>
      <c r="G415" s="7">
        <v>400</v>
      </c>
      <c r="H415" t="str">
        <f t="shared" si="34"/>
        <v>K</v>
      </c>
      <c r="I415" s="1">
        <v>1128540.38078</v>
      </c>
      <c r="J415" s="1">
        <v>20398.34197999999</v>
      </c>
      <c r="K415" s="1">
        <v>16754.223789999989</v>
      </c>
      <c r="L415" s="1">
        <v>10029.153789999989</v>
      </c>
      <c r="M415" s="1">
        <v>9607.8557999999994</v>
      </c>
      <c r="N415" s="1">
        <v>59475.725079999997</v>
      </c>
      <c r="O415" s="2">
        <f t="shared" si="30"/>
        <v>5.2701459418663298E-2</v>
      </c>
      <c r="P415">
        <f t="shared" si="31"/>
        <v>0</v>
      </c>
      <c r="Q415" s="1">
        <v>101</v>
      </c>
      <c r="R415" s="1">
        <v>9812.7212299999992</v>
      </c>
      <c r="S415" s="1">
        <v>301188.56021999998</v>
      </c>
      <c r="T415" s="1">
        <v>190019.23347000001</v>
      </c>
      <c r="U415" s="1">
        <v>111169.32674999999</v>
      </c>
      <c r="V415" s="1">
        <v>150394.32891000001</v>
      </c>
      <c r="W415" s="1">
        <v>150794.23131</v>
      </c>
      <c r="X415" s="1">
        <v>1731601.1309799999</v>
      </c>
      <c r="Y415" s="1">
        <v>53960.301549999996</v>
      </c>
      <c r="Z415" s="1">
        <v>36360.940280000003</v>
      </c>
      <c r="AA415" s="1">
        <v>28848.51355</v>
      </c>
      <c r="AB415" s="1">
        <v>24451.865870000001</v>
      </c>
      <c r="AC415" s="1">
        <v>1652600</v>
      </c>
      <c r="AD415" s="2">
        <f t="shared" si="32"/>
        <v>0.95437683103424098</v>
      </c>
      <c r="AE415">
        <f t="shared" si="33"/>
        <v>1</v>
      </c>
      <c r="AF415" s="1">
        <v>184</v>
      </c>
      <c r="AG415" s="1">
        <v>21419.726709999999</v>
      </c>
      <c r="AH415" s="1">
        <v>603474.79484999995</v>
      </c>
      <c r="AI415" s="1">
        <v>297345.77555000002</v>
      </c>
      <c r="AJ415" s="1">
        <v>306129.01929999999</v>
      </c>
      <c r="AK415" s="1">
        <v>252482.72876</v>
      </c>
      <c r="AL415" s="1">
        <v>350992.06608999998</v>
      </c>
    </row>
    <row r="416" spans="1:38" x14ac:dyDescent="0.2">
      <c r="A416">
        <v>455</v>
      </c>
      <c r="B416" t="s">
        <v>246</v>
      </c>
      <c r="C416" t="s">
        <v>702</v>
      </c>
      <c r="D416" t="s">
        <v>1049</v>
      </c>
      <c r="E416" t="s">
        <v>1222</v>
      </c>
      <c r="F416" t="s">
        <v>1305</v>
      </c>
      <c r="G416" s="7">
        <v>540</v>
      </c>
      <c r="H416" t="str">
        <f t="shared" si="34"/>
        <v>Z</v>
      </c>
      <c r="I416" s="1">
        <v>1126125</v>
      </c>
      <c r="J416" s="1">
        <v>157971</v>
      </c>
      <c r="K416" s="1">
        <v>154109</v>
      </c>
      <c r="L416" s="1">
        <v>119632</v>
      </c>
      <c r="M416" s="1">
        <v>17616</v>
      </c>
      <c r="N416" s="1">
        <v>1012325</v>
      </c>
      <c r="O416" s="2">
        <f t="shared" si="30"/>
        <v>0.89894549894549891</v>
      </c>
      <c r="P416">
        <f t="shared" si="31"/>
        <v>1</v>
      </c>
      <c r="Q416" s="1">
        <v>2741</v>
      </c>
      <c r="R416" s="1">
        <v>261640</v>
      </c>
      <c r="S416" s="1">
        <v>1210984</v>
      </c>
      <c r="T416" s="1">
        <v>253216</v>
      </c>
      <c r="U416" s="1">
        <v>957768</v>
      </c>
      <c r="V416" s="1">
        <v>715633</v>
      </c>
      <c r="W416" s="1">
        <v>495351</v>
      </c>
      <c r="X416" s="1">
        <v>3008204</v>
      </c>
      <c r="Y416" s="1">
        <v>282602</v>
      </c>
      <c r="Z416" s="1">
        <v>267097</v>
      </c>
      <c r="AA416" s="1">
        <v>213382</v>
      </c>
      <c r="AB416" s="1">
        <v>30428</v>
      </c>
      <c r="AC416" s="1">
        <v>1248332</v>
      </c>
      <c r="AD416" s="2">
        <f t="shared" si="32"/>
        <v>0.41497584605299376</v>
      </c>
      <c r="AE416">
        <f t="shared" si="33"/>
        <v>0</v>
      </c>
      <c r="AF416" s="1">
        <v>3255</v>
      </c>
      <c r="AG416" s="1">
        <v>437534</v>
      </c>
      <c r="AH416" s="1">
        <v>4815006</v>
      </c>
      <c r="AI416" s="1">
        <v>1775452</v>
      </c>
      <c r="AJ416" s="1">
        <v>3039554</v>
      </c>
      <c r="AK416" s="1">
        <v>1120435</v>
      </c>
      <c r="AL416" s="1">
        <v>3694571</v>
      </c>
    </row>
    <row r="417" spans="1:38" x14ac:dyDescent="0.2">
      <c r="A417">
        <v>456</v>
      </c>
      <c r="B417" t="s">
        <v>380</v>
      </c>
      <c r="C417" t="s">
        <v>837</v>
      </c>
      <c r="D417" t="s">
        <v>974</v>
      </c>
      <c r="E417" t="s">
        <v>1131</v>
      </c>
      <c r="F417" t="s">
        <v>1305</v>
      </c>
      <c r="G417" s="7">
        <v>400</v>
      </c>
      <c r="H417" t="str">
        <f t="shared" si="34"/>
        <v>K</v>
      </c>
      <c r="I417" s="1">
        <v>1125148</v>
      </c>
      <c r="J417" s="1">
        <v>28308</v>
      </c>
      <c r="K417" s="1">
        <v>25177</v>
      </c>
      <c r="L417" s="1">
        <v>25177</v>
      </c>
      <c r="M417" s="1">
        <v>7012</v>
      </c>
      <c r="N417" s="1">
        <v>11403</v>
      </c>
      <c r="O417" s="2">
        <f t="shared" si="30"/>
        <v>1.0134666728288189E-2</v>
      </c>
      <c r="P417">
        <f t="shared" si="31"/>
        <v>0</v>
      </c>
      <c r="Q417" s="1">
        <v>692</v>
      </c>
      <c r="R417" s="1">
        <v>68129.359490000003</v>
      </c>
      <c r="S417" s="1">
        <v>431349</v>
      </c>
      <c r="T417" s="1">
        <v>174019</v>
      </c>
      <c r="U417" s="1">
        <v>257330</v>
      </c>
      <c r="V417" s="1">
        <v>168388</v>
      </c>
      <c r="W417" s="1">
        <v>262961.18271000002</v>
      </c>
      <c r="X417" s="1">
        <v>1720304.3878200001</v>
      </c>
      <c r="Y417" s="1">
        <v>55844.650399999999</v>
      </c>
      <c r="Z417" s="1">
        <v>51739.849219999996</v>
      </c>
      <c r="AA417" s="1">
        <v>51739.849219999996</v>
      </c>
      <c r="AB417" s="1">
        <v>11904.733480000001</v>
      </c>
      <c r="AC417" s="1">
        <v>30026.387819999829</v>
      </c>
      <c r="AD417" s="2">
        <f t="shared" si="32"/>
        <v>1.7454113372372314E-2</v>
      </c>
      <c r="AE417">
        <f t="shared" si="33"/>
        <v>0</v>
      </c>
      <c r="AF417" s="1">
        <v>814</v>
      </c>
      <c r="AG417" s="1">
        <v>110761.97581</v>
      </c>
      <c r="AH417" s="1">
        <v>617094.76601999998</v>
      </c>
      <c r="AI417" s="1">
        <v>254890.94143000001</v>
      </c>
      <c r="AJ417" s="1">
        <v>362203.82458999997</v>
      </c>
      <c r="AK417" s="1">
        <v>298645.30825</v>
      </c>
      <c r="AL417" s="1">
        <v>318449.45776999998</v>
      </c>
    </row>
    <row r="418" spans="1:38" x14ac:dyDescent="0.2">
      <c r="A418">
        <v>457</v>
      </c>
      <c r="B418" t="s">
        <v>449</v>
      </c>
      <c r="C418" t="s">
        <v>906</v>
      </c>
      <c r="D418" t="s">
        <v>1041</v>
      </c>
      <c r="E418" t="s">
        <v>1214</v>
      </c>
      <c r="F418" t="s">
        <v>1294</v>
      </c>
      <c r="G418" s="7">
        <v>500</v>
      </c>
      <c r="H418" t="str">
        <f t="shared" si="34"/>
        <v>Z</v>
      </c>
      <c r="I418" s="1">
        <v>1115187</v>
      </c>
      <c r="J418" s="1">
        <v>239433</v>
      </c>
      <c r="K418" s="1">
        <v>237987</v>
      </c>
      <c r="L418" s="1">
        <v>202138</v>
      </c>
      <c r="M418" s="1">
        <v>3447</v>
      </c>
      <c r="N418" s="1">
        <v>0</v>
      </c>
      <c r="O418" s="2">
        <f t="shared" si="30"/>
        <v>0</v>
      </c>
      <c r="P418">
        <f t="shared" si="31"/>
        <v>0</v>
      </c>
      <c r="Q418" s="1">
        <v>362</v>
      </c>
      <c r="R418" s="1">
        <v>30743</v>
      </c>
      <c r="S418" s="1">
        <v>2403070</v>
      </c>
      <c r="T418" s="1">
        <v>339303</v>
      </c>
      <c r="U418" s="1">
        <v>2063767</v>
      </c>
      <c r="V418" s="1">
        <v>777201</v>
      </c>
      <c r="W418" s="1">
        <v>1625869</v>
      </c>
      <c r="X418" s="1">
        <v>1301353</v>
      </c>
      <c r="Y418" s="1">
        <v>291496</v>
      </c>
      <c r="Z418" s="1">
        <v>316206</v>
      </c>
      <c r="AA418" s="1">
        <v>258118</v>
      </c>
      <c r="AB418" s="1">
        <v>6879</v>
      </c>
      <c r="AC418" s="1">
        <v>0</v>
      </c>
      <c r="AD418" s="2">
        <f t="shared" si="32"/>
        <v>0</v>
      </c>
      <c r="AE418">
        <f t="shared" si="33"/>
        <v>0</v>
      </c>
      <c r="AF418" s="1">
        <v>455</v>
      </c>
      <c r="AG418" s="1">
        <v>49916</v>
      </c>
      <c r="AH418" s="1">
        <v>3565598</v>
      </c>
      <c r="AI418" s="1">
        <v>1003056</v>
      </c>
      <c r="AJ418" s="1">
        <v>2562542</v>
      </c>
      <c r="AK418" s="1">
        <v>1751478</v>
      </c>
      <c r="AL418" s="1">
        <v>1814120</v>
      </c>
    </row>
    <row r="419" spans="1:38" x14ac:dyDescent="0.2">
      <c r="A419">
        <v>458</v>
      </c>
      <c r="B419" t="s">
        <v>446</v>
      </c>
      <c r="C419" t="s">
        <v>903</v>
      </c>
      <c r="D419" t="s">
        <v>1005</v>
      </c>
      <c r="E419" t="s">
        <v>1195</v>
      </c>
      <c r="F419" t="s">
        <v>1306</v>
      </c>
      <c r="G419" s="7">
        <v>500</v>
      </c>
      <c r="H419" t="str">
        <f t="shared" si="34"/>
        <v>Z</v>
      </c>
      <c r="I419" s="1">
        <v>1113752.371</v>
      </c>
      <c r="J419" s="1">
        <v>25269.508000000002</v>
      </c>
      <c r="K419" s="1">
        <v>15546</v>
      </c>
      <c r="L419" s="1">
        <v>7620.2349999999997</v>
      </c>
      <c r="M419" s="1">
        <v>51195</v>
      </c>
      <c r="N419" s="1">
        <v>1039815</v>
      </c>
      <c r="O419" s="2">
        <f t="shared" si="30"/>
        <v>0.93361417409723291</v>
      </c>
      <c r="P419">
        <f t="shared" si="31"/>
        <v>1</v>
      </c>
      <c r="Q419" s="1">
        <v>2336</v>
      </c>
      <c r="R419" s="1">
        <v>158912</v>
      </c>
      <c r="S419" s="1">
        <v>886069</v>
      </c>
      <c r="T419" s="1">
        <v>599657</v>
      </c>
      <c r="U419" s="1">
        <v>286412</v>
      </c>
      <c r="V419" s="1">
        <v>502009.45500000002</v>
      </c>
      <c r="W419" s="1">
        <v>384058.78899999999</v>
      </c>
      <c r="X419" s="1">
        <v>1338714.767</v>
      </c>
      <c r="Y419" s="1">
        <v>31507.881000000001</v>
      </c>
      <c r="Z419" s="1">
        <v>26360.102999999999</v>
      </c>
      <c r="AA419" s="1">
        <v>18532.282999999999</v>
      </c>
      <c r="AB419" s="1">
        <v>55034</v>
      </c>
      <c r="AC419" s="1">
        <v>1205971</v>
      </c>
      <c r="AD419" s="2">
        <f t="shared" si="32"/>
        <v>0.90084238235642022</v>
      </c>
      <c r="AE419">
        <f t="shared" si="33"/>
        <v>1</v>
      </c>
      <c r="AF419" s="1">
        <v>2238</v>
      </c>
      <c r="AG419" s="1">
        <v>194783</v>
      </c>
      <c r="AH419" s="1">
        <v>1014360.7120000001</v>
      </c>
      <c r="AI419" s="1">
        <v>518104.55300000001</v>
      </c>
      <c r="AJ419" s="1">
        <v>496256.15899999999</v>
      </c>
      <c r="AK419" s="1">
        <v>557172.55000000005</v>
      </c>
      <c r="AL419" s="1">
        <v>327910.36200000002</v>
      </c>
    </row>
    <row r="420" spans="1:38" x14ac:dyDescent="0.2">
      <c r="A420">
        <v>459</v>
      </c>
      <c r="B420" t="s">
        <v>407</v>
      </c>
      <c r="C420" t="s">
        <v>864</v>
      </c>
      <c r="D420" t="s">
        <v>1017</v>
      </c>
      <c r="E420" t="s">
        <v>1181</v>
      </c>
      <c r="F420" t="s">
        <v>1306</v>
      </c>
      <c r="G420" s="7">
        <v>400</v>
      </c>
      <c r="H420" t="str">
        <f t="shared" si="34"/>
        <v>K</v>
      </c>
      <c r="I420" s="1">
        <v>1113598</v>
      </c>
      <c r="J420" s="1">
        <v>64839</v>
      </c>
      <c r="K420" s="1">
        <v>65924</v>
      </c>
      <c r="L420" s="1">
        <v>55271</v>
      </c>
      <c r="M420" s="1">
        <v>22057</v>
      </c>
      <c r="N420" s="1">
        <v>0</v>
      </c>
      <c r="O420" s="2">
        <f t="shared" si="30"/>
        <v>0</v>
      </c>
      <c r="P420">
        <f t="shared" si="31"/>
        <v>0</v>
      </c>
      <c r="Q420" s="1">
        <v>486</v>
      </c>
      <c r="R420" s="1">
        <v>37178</v>
      </c>
      <c r="S420" s="1">
        <v>579252</v>
      </c>
      <c r="T420" s="1">
        <v>257980</v>
      </c>
      <c r="U420" s="1">
        <v>321272</v>
      </c>
      <c r="V420" s="1">
        <v>463053</v>
      </c>
      <c r="W420" s="1">
        <v>116198.65943</v>
      </c>
      <c r="X420" s="1">
        <v>1578811</v>
      </c>
      <c r="Y420" s="1">
        <v>45701</v>
      </c>
      <c r="Z420" s="1">
        <v>44613</v>
      </c>
      <c r="AA420" s="1">
        <v>70197</v>
      </c>
      <c r="AB420" s="1">
        <v>28440</v>
      </c>
      <c r="AC420" s="1">
        <v>0</v>
      </c>
      <c r="AD420" s="2">
        <f t="shared" si="32"/>
        <v>0</v>
      </c>
      <c r="AE420">
        <f t="shared" si="33"/>
        <v>0</v>
      </c>
      <c r="AF420" s="1">
        <v>430</v>
      </c>
      <c r="AG420" s="1">
        <v>51053</v>
      </c>
      <c r="AH420" s="1">
        <v>973399</v>
      </c>
      <c r="AI420" s="1">
        <v>448713</v>
      </c>
      <c r="AJ420" s="1">
        <v>524686</v>
      </c>
      <c r="AK420" s="1">
        <v>614961</v>
      </c>
      <c r="AL420" s="1">
        <v>358438</v>
      </c>
    </row>
    <row r="421" spans="1:38" x14ac:dyDescent="0.2">
      <c r="A421">
        <v>460</v>
      </c>
      <c r="B421" t="s">
        <v>484</v>
      </c>
      <c r="C421" t="s">
        <v>940</v>
      </c>
      <c r="D421" t="s">
        <v>1089</v>
      </c>
      <c r="E421" t="s">
        <v>1263</v>
      </c>
      <c r="F421" t="s">
        <v>1304</v>
      </c>
      <c r="G421" s="7">
        <v>500</v>
      </c>
      <c r="H421" t="str">
        <f t="shared" si="34"/>
        <v>Z</v>
      </c>
      <c r="I421" s="1">
        <v>1113407</v>
      </c>
      <c r="J421" s="1">
        <v>15635</v>
      </c>
      <c r="K421" s="1">
        <v>15780</v>
      </c>
      <c r="L421" s="1">
        <v>12325</v>
      </c>
      <c r="M421" s="1">
        <v>103</v>
      </c>
      <c r="N421" s="1">
        <v>647462</v>
      </c>
      <c r="O421" s="2">
        <f t="shared" si="30"/>
        <v>0.58151421717305529</v>
      </c>
      <c r="P421">
        <f t="shared" si="31"/>
        <v>1</v>
      </c>
      <c r="Q421" s="1">
        <v>25</v>
      </c>
      <c r="R421" s="1">
        <v>3910.3457100000001</v>
      </c>
      <c r="S421" s="1">
        <v>302753</v>
      </c>
      <c r="T421" s="1">
        <v>1100</v>
      </c>
      <c r="U421" s="1">
        <v>301653</v>
      </c>
      <c r="V421" s="1">
        <v>39035</v>
      </c>
      <c r="W421" s="1">
        <v>263718.06385999999</v>
      </c>
      <c r="X421" s="1">
        <v>716639.73751000001</v>
      </c>
      <c r="Y421" s="1">
        <v>49871.914530000002</v>
      </c>
      <c r="Z421" s="1">
        <v>45321.150609999997</v>
      </c>
      <c r="AA421" s="1">
        <v>36521.564740000002</v>
      </c>
      <c r="AB421" s="1">
        <v>79.222630000000009</v>
      </c>
      <c r="AC421" s="1">
        <v>415928</v>
      </c>
      <c r="AD421" s="2">
        <f t="shared" si="32"/>
        <v>0.58038645951334245</v>
      </c>
      <c r="AE421">
        <f t="shared" si="33"/>
        <v>1</v>
      </c>
      <c r="AF421" s="1">
        <v>16</v>
      </c>
      <c r="AG421" s="1">
        <v>4245.9510399999999</v>
      </c>
      <c r="AH421" s="1">
        <v>191206.72497000001</v>
      </c>
      <c r="AI421" s="1">
        <v>1440.2521400000001</v>
      </c>
      <c r="AJ421" s="1">
        <v>189766.47283000001</v>
      </c>
      <c r="AK421" s="1">
        <v>130711.02731999999</v>
      </c>
      <c r="AL421" s="1">
        <v>60495.697650000002</v>
      </c>
    </row>
    <row r="422" spans="1:38" x14ac:dyDescent="0.2">
      <c r="A422">
        <v>461</v>
      </c>
      <c r="B422" t="s">
        <v>388</v>
      </c>
      <c r="C422" t="s">
        <v>845</v>
      </c>
      <c r="D422" t="s">
        <v>982</v>
      </c>
      <c r="E422" t="s">
        <v>1146</v>
      </c>
      <c r="F422" t="s">
        <v>1300</v>
      </c>
      <c r="G422" s="7">
        <v>400</v>
      </c>
      <c r="H422" t="str">
        <f t="shared" si="34"/>
        <v>K</v>
      </c>
      <c r="I422" s="1">
        <v>1207503.38747</v>
      </c>
      <c r="J422" s="1">
        <v>24349.801069999969</v>
      </c>
      <c r="K422" s="1">
        <v>15619</v>
      </c>
      <c r="L422" s="1">
        <v>13257.90189999997</v>
      </c>
      <c r="M422" s="1">
        <v>14360.08994</v>
      </c>
      <c r="N422" s="1">
        <v>33029</v>
      </c>
      <c r="O422" s="2">
        <f t="shared" si="30"/>
        <v>2.7353132374397248E-2</v>
      </c>
      <c r="P422">
        <f t="shared" si="31"/>
        <v>0</v>
      </c>
      <c r="Q422" s="1">
        <v>420.46</v>
      </c>
      <c r="R422" s="1">
        <v>31402.350330000001</v>
      </c>
      <c r="S422" s="1">
        <v>300642</v>
      </c>
      <c r="T422" s="1">
        <v>150610</v>
      </c>
      <c r="U422" s="1">
        <v>150032</v>
      </c>
      <c r="V422" s="1">
        <v>93620.123529999997</v>
      </c>
      <c r="W422" s="1">
        <v>207020.95017</v>
      </c>
      <c r="X422" s="1">
        <v>1688353.7080399999</v>
      </c>
      <c r="Y422" s="1">
        <v>39276.163099999998</v>
      </c>
      <c r="Z422" s="1">
        <v>22832.325639999999</v>
      </c>
      <c r="AA422" s="1">
        <v>16814.480640000002</v>
      </c>
      <c r="AB422" s="1">
        <v>30338.40409</v>
      </c>
      <c r="AC422" s="1">
        <v>100866</v>
      </c>
      <c r="AD422" s="2">
        <f t="shared" si="32"/>
        <v>5.9742220791574978E-2</v>
      </c>
      <c r="AE422">
        <f t="shared" si="33"/>
        <v>0</v>
      </c>
      <c r="AF422" s="1">
        <v>529</v>
      </c>
      <c r="AG422" s="1">
        <v>60380</v>
      </c>
      <c r="AH422" s="1">
        <v>682387.91905999999</v>
      </c>
      <c r="AI422" s="1">
        <v>371899.85271000001</v>
      </c>
      <c r="AJ422" s="1">
        <v>310488.06634999998</v>
      </c>
      <c r="AK422" s="1">
        <v>264159.57786000002</v>
      </c>
      <c r="AL422" s="1">
        <v>418228.34120000002</v>
      </c>
    </row>
    <row r="423" spans="1:38" x14ac:dyDescent="0.2">
      <c r="A423">
        <v>462</v>
      </c>
      <c r="B423" t="s">
        <v>473</v>
      </c>
      <c r="C423" t="s">
        <v>929</v>
      </c>
      <c r="D423" t="s">
        <v>1094</v>
      </c>
      <c r="E423" t="s">
        <v>1270</v>
      </c>
      <c r="F423" t="s">
        <v>1306</v>
      </c>
      <c r="G423" s="7">
        <v>500</v>
      </c>
      <c r="H423" t="str">
        <f t="shared" si="34"/>
        <v>Z</v>
      </c>
      <c r="I423" s="1">
        <v>1110331</v>
      </c>
      <c r="J423" s="1">
        <v>409136</v>
      </c>
      <c r="K423" s="1">
        <v>412733</v>
      </c>
      <c r="L423" s="1">
        <v>363327</v>
      </c>
      <c r="M423" s="1">
        <v>25827</v>
      </c>
      <c r="N423" s="1">
        <v>1041235</v>
      </c>
      <c r="O423" s="2">
        <f t="shared" si="30"/>
        <v>0.93776990825258411</v>
      </c>
      <c r="P423">
        <f t="shared" si="31"/>
        <v>1</v>
      </c>
      <c r="Q423" s="1">
        <v>662</v>
      </c>
      <c r="R423" s="1">
        <v>90881</v>
      </c>
      <c r="S423" s="1">
        <v>963133</v>
      </c>
      <c r="T423" s="1">
        <v>369527</v>
      </c>
      <c r="U423" s="1">
        <v>593606</v>
      </c>
      <c r="V423" s="1">
        <v>728797</v>
      </c>
      <c r="W423" s="1">
        <v>234336</v>
      </c>
      <c r="X423" s="1">
        <v>1009531</v>
      </c>
      <c r="Y423" s="1">
        <v>5159</v>
      </c>
      <c r="Z423" s="1">
        <v>6438</v>
      </c>
      <c r="AA423" s="1">
        <v>4726</v>
      </c>
      <c r="AB423" s="1">
        <v>78095</v>
      </c>
      <c r="AC423" s="1">
        <v>1009430.0469</v>
      </c>
      <c r="AD423" s="2">
        <f t="shared" si="32"/>
        <v>0.99990000000000001</v>
      </c>
      <c r="AE423">
        <f t="shared" si="33"/>
        <v>1</v>
      </c>
      <c r="AF423" s="1">
        <v>790</v>
      </c>
      <c r="AG423" s="1">
        <v>147905</v>
      </c>
      <c r="AH423" s="1">
        <v>1631201</v>
      </c>
      <c r="AI423" s="1">
        <v>825561</v>
      </c>
      <c r="AJ423" s="1">
        <v>805640</v>
      </c>
      <c r="AK423" s="1">
        <v>1440176</v>
      </c>
      <c r="AL423" s="1">
        <v>191025</v>
      </c>
    </row>
    <row r="424" spans="1:38" x14ac:dyDescent="0.2">
      <c r="A424">
        <v>463</v>
      </c>
      <c r="B424" t="s">
        <v>475</v>
      </c>
      <c r="C424" t="s">
        <v>931</v>
      </c>
      <c r="D424" t="s">
        <v>1111</v>
      </c>
      <c r="E424" t="s">
        <v>1287</v>
      </c>
      <c r="F424" t="s">
        <v>1309</v>
      </c>
      <c r="G424" s="7">
        <v>400</v>
      </c>
      <c r="H424" t="str">
        <f t="shared" si="34"/>
        <v>K</v>
      </c>
      <c r="I424" s="1">
        <v>1108538</v>
      </c>
      <c r="J424" s="1">
        <v>189227</v>
      </c>
      <c r="K424" s="1">
        <v>188663</v>
      </c>
      <c r="L424" s="1">
        <v>195216</v>
      </c>
      <c r="M424" s="1">
        <v>7384</v>
      </c>
      <c r="N424" s="1">
        <v>1093878</v>
      </c>
      <c r="O424" s="2">
        <f t="shared" si="30"/>
        <v>0.98677537441206342</v>
      </c>
      <c r="P424">
        <f t="shared" si="31"/>
        <v>1</v>
      </c>
      <c r="Q424" s="1">
        <v>4988</v>
      </c>
      <c r="R424" s="1">
        <v>585324.39528000006</v>
      </c>
      <c r="S424" s="1">
        <v>373758</v>
      </c>
      <c r="T424" s="1">
        <v>32504.955849999998</v>
      </c>
      <c r="U424" s="1">
        <v>341253.07526999997</v>
      </c>
      <c r="V424" s="1">
        <v>200504.10777999999</v>
      </c>
      <c r="W424" s="1">
        <v>173253.92334000001</v>
      </c>
      <c r="X424" s="1">
        <v>920123.92986000003</v>
      </c>
      <c r="Y424" s="1">
        <v>75790.851970000003</v>
      </c>
      <c r="Z424" s="1">
        <v>86435.354569999996</v>
      </c>
      <c r="AA424" s="1">
        <v>88921.660510000002</v>
      </c>
      <c r="AB424" s="1">
        <v>5249.3620799999999</v>
      </c>
      <c r="AC424" s="1">
        <v>907051</v>
      </c>
      <c r="AD424" s="2">
        <f t="shared" si="32"/>
        <v>0.9857922075105805</v>
      </c>
      <c r="AE424">
        <f t="shared" si="33"/>
        <v>1</v>
      </c>
      <c r="AF424" s="1">
        <v>3277</v>
      </c>
      <c r="AG424" s="1">
        <v>565897.16492999997</v>
      </c>
      <c r="AH424" s="1">
        <v>607899.26963</v>
      </c>
      <c r="AI424" s="1">
        <v>33663.571389999997</v>
      </c>
      <c r="AJ424" s="1">
        <v>574235.69824000006</v>
      </c>
      <c r="AK424" s="1">
        <v>468633.27127999999</v>
      </c>
      <c r="AL424" s="1">
        <v>139265.99835000001</v>
      </c>
    </row>
    <row r="425" spans="1:38" x14ac:dyDescent="0.2">
      <c r="A425">
        <v>464</v>
      </c>
      <c r="B425" t="s">
        <v>508</v>
      </c>
      <c r="C425" t="s">
        <v>962</v>
      </c>
      <c r="D425" t="s">
        <v>1118</v>
      </c>
      <c r="E425" t="s">
        <v>1296</v>
      </c>
      <c r="F425" t="s">
        <v>1294</v>
      </c>
      <c r="G425" s="7">
        <v>400</v>
      </c>
      <c r="H425" t="str">
        <f t="shared" si="34"/>
        <v>K</v>
      </c>
      <c r="I425" s="1">
        <v>1108463</v>
      </c>
      <c r="J425" s="1">
        <v>40103</v>
      </c>
      <c r="K425" s="1">
        <v>40926</v>
      </c>
      <c r="L425" s="1">
        <v>35090</v>
      </c>
      <c r="M425" s="1">
        <v>443</v>
      </c>
      <c r="N425" s="1">
        <v>0</v>
      </c>
      <c r="O425" s="2">
        <f t="shared" si="30"/>
        <v>0</v>
      </c>
      <c r="P425">
        <f t="shared" si="31"/>
        <v>0</v>
      </c>
      <c r="Q425" s="1">
        <v>24</v>
      </c>
      <c r="R425" s="1">
        <v>7165</v>
      </c>
      <c r="S425" s="1">
        <v>251244</v>
      </c>
      <c r="T425" s="1">
        <v>16092</v>
      </c>
      <c r="U425" s="1">
        <v>235152</v>
      </c>
      <c r="V425" s="1">
        <v>125634</v>
      </c>
      <c r="W425" s="1">
        <v>125610</v>
      </c>
      <c r="X425" s="1">
        <v>287988</v>
      </c>
      <c r="Y425" s="1">
        <v>2390</v>
      </c>
      <c r="Z425" s="1">
        <v>12319</v>
      </c>
      <c r="AA425" s="1">
        <v>10006</v>
      </c>
      <c r="AB425" s="1">
        <v>445</v>
      </c>
      <c r="AC425" s="1">
        <v>0</v>
      </c>
      <c r="AD425" s="2">
        <f t="shared" si="32"/>
        <v>0</v>
      </c>
      <c r="AE425">
        <f t="shared" si="33"/>
        <v>0</v>
      </c>
      <c r="AF425" s="1">
        <v>10</v>
      </c>
      <c r="AG425" s="1">
        <v>4446</v>
      </c>
      <c r="AH425" s="1">
        <v>172493</v>
      </c>
      <c r="AI425" s="1">
        <v>24594</v>
      </c>
      <c r="AJ425" s="1">
        <v>147899</v>
      </c>
      <c r="AK425" s="1">
        <v>155153</v>
      </c>
      <c r="AL425" s="1">
        <v>17340</v>
      </c>
    </row>
    <row r="426" spans="1:38" x14ac:dyDescent="0.2">
      <c r="A426">
        <v>465</v>
      </c>
      <c r="B426" t="s">
        <v>402</v>
      </c>
      <c r="C426" t="s">
        <v>859</v>
      </c>
      <c r="D426" t="s">
        <v>974</v>
      </c>
      <c r="E426" t="s">
        <v>1131</v>
      </c>
      <c r="F426" t="s">
        <v>1305</v>
      </c>
      <c r="G426" s="7">
        <v>500</v>
      </c>
      <c r="H426" t="str">
        <f t="shared" si="34"/>
        <v>Z</v>
      </c>
      <c r="I426" s="1">
        <v>1006271.23013</v>
      </c>
      <c r="J426" s="1">
        <v>23449.8</v>
      </c>
      <c r="K426" s="1">
        <v>19883</v>
      </c>
      <c r="L426" s="1">
        <v>15480</v>
      </c>
      <c r="M426" s="1">
        <v>3161</v>
      </c>
      <c r="N426" s="1">
        <v>0</v>
      </c>
      <c r="O426" s="2">
        <f t="shared" si="30"/>
        <v>0</v>
      </c>
      <c r="P426">
        <f t="shared" si="31"/>
        <v>0</v>
      </c>
      <c r="Q426" s="1">
        <v>429</v>
      </c>
      <c r="R426" s="1">
        <v>58856</v>
      </c>
      <c r="S426" s="1">
        <v>495308</v>
      </c>
      <c r="T426" s="1">
        <v>95943</v>
      </c>
      <c r="U426" s="1">
        <v>399365</v>
      </c>
      <c r="V426" s="1">
        <v>149158</v>
      </c>
      <c r="W426" s="1">
        <v>346150.20760000002</v>
      </c>
      <c r="X426" s="1">
        <v>1590211.83387</v>
      </c>
      <c r="Y426" s="1">
        <v>24648.219249999998</v>
      </c>
      <c r="Z426" s="1">
        <v>22933.446540000001</v>
      </c>
      <c r="AA426" s="1">
        <v>18279.823540000001</v>
      </c>
      <c r="AB426" s="1">
        <v>4507.9162900000001</v>
      </c>
      <c r="AC426" s="1">
        <v>0</v>
      </c>
      <c r="AD426" s="2">
        <f t="shared" si="32"/>
        <v>0</v>
      </c>
      <c r="AE426">
        <f t="shared" si="33"/>
        <v>0</v>
      </c>
      <c r="AF426" s="1">
        <v>491</v>
      </c>
      <c r="AG426" s="1">
        <v>112914.87876000001</v>
      </c>
      <c r="AH426" s="1">
        <v>489489.63395999989</v>
      </c>
      <c r="AI426" s="1">
        <v>59104.929179999999</v>
      </c>
      <c r="AJ426" s="1">
        <v>430384.70477999997</v>
      </c>
      <c r="AK426" s="1">
        <v>241394.34301000001</v>
      </c>
      <c r="AL426" s="1">
        <v>248095.29095</v>
      </c>
    </row>
    <row r="427" spans="1:38" x14ac:dyDescent="0.2">
      <c r="A427">
        <v>466</v>
      </c>
      <c r="B427" t="s">
        <v>459</v>
      </c>
      <c r="C427" t="s">
        <v>916</v>
      </c>
      <c r="D427" t="s">
        <v>999</v>
      </c>
      <c r="E427" t="s">
        <v>1159</v>
      </c>
      <c r="F427" t="s">
        <v>1306</v>
      </c>
      <c r="G427" s="7">
        <v>500</v>
      </c>
      <c r="H427" t="str">
        <f t="shared" si="34"/>
        <v>Z</v>
      </c>
      <c r="I427" s="1">
        <v>1106926</v>
      </c>
      <c r="J427" s="1">
        <v>28312</v>
      </c>
      <c r="K427" s="1">
        <v>28641</v>
      </c>
      <c r="L427" s="1">
        <v>20294</v>
      </c>
      <c r="M427" s="1">
        <v>38169</v>
      </c>
      <c r="N427" s="1">
        <v>955453</v>
      </c>
      <c r="O427" s="2">
        <f t="shared" si="30"/>
        <v>0.86315887421562054</v>
      </c>
      <c r="P427">
        <f t="shared" si="31"/>
        <v>1</v>
      </c>
      <c r="Q427" s="1">
        <v>354</v>
      </c>
      <c r="R427" s="1">
        <v>49232</v>
      </c>
      <c r="S427" s="1">
        <v>934522.62754000002</v>
      </c>
      <c r="T427" s="1">
        <v>429766</v>
      </c>
      <c r="U427" s="1">
        <v>504756</v>
      </c>
      <c r="V427" s="1">
        <v>635232</v>
      </c>
      <c r="W427" s="1">
        <v>299291.08143000002</v>
      </c>
      <c r="X427" s="1">
        <v>1161817.4553100001</v>
      </c>
      <c r="Y427" s="1">
        <v>45705.186309999997</v>
      </c>
      <c r="Z427" s="1">
        <v>47711.878349999999</v>
      </c>
      <c r="AA427" s="1">
        <v>47940.29135</v>
      </c>
      <c r="AB427" s="1">
        <v>57134.825490000003</v>
      </c>
      <c r="AC427" s="1">
        <v>770628</v>
      </c>
      <c r="AD427" s="2">
        <f t="shared" si="32"/>
        <v>0.66329525045255788</v>
      </c>
      <c r="AE427">
        <f t="shared" si="33"/>
        <v>1</v>
      </c>
      <c r="AF427" s="1">
        <v>379</v>
      </c>
      <c r="AG427" s="1">
        <v>71972.998909999995</v>
      </c>
      <c r="AH427" s="1">
        <v>1023015.3299</v>
      </c>
      <c r="AI427" s="1">
        <v>444134.6238</v>
      </c>
      <c r="AJ427" s="1">
        <v>578880.70610000007</v>
      </c>
      <c r="AK427" s="1">
        <v>816374.20834999997</v>
      </c>
      <c r="AL427" s="1">
        <v>206641.12155000001</v>
      </c>
    </row>
    <row r="428" spans="1:38" x14ac:dyDescent="0.2">
      <c r="A428">
        <v>467</v>
      </c>
      <c r="B428" t="s">
        <v>413</v>
      </c>
      <c r="C428" t="s">
        <v>870</v>
      </c>
      <c r="D428" t="s">
        <v>1032</v>
      </c>
      <c r="E428" t="s">
        <v>1204</v>
      </c>
      <c r="F428" t="s">
        <v>1311</v>
      </c>
      <c r="G428" s="7">
        <v>500</v>
      </c>
      <c r="H428" t="str">
        <f t="shared" si="34"/>
        <v>Z</v>
      </c>
      <c r="I428" s="1">
        <v>1106184.9547600001</v>
      </c>
      <c r="J428" s="1">
        <v>38514.901250000003</v>
      </c>
      <c r="K428" s="1">
        <v>34818.206109999999</v>
      </c>
      <c r="L428" s="1">
        <v>22796.838889999999</v>
      </c>
      <c r="M428" s="1">
        <v>25412.000889999999</v>
      </c>
      <c r="N428" s="1">
        <v>427128</v>
      </c>
      <c r="O428" s="2">
        <f t="shared" si="30"/>
        <v>0.38612711026491087</v>
      </c>
      <c r="P428">
        <f t="shared" si="31"/>
        <v>0</v>
      </c>
      <c r="Q428" s="1">
        <v>3136</v>
      </c>
      <c r="R428" s="1">
        <v>209936.01680000001</v>
      </c>
      <c r="S428" s="1">
        <v>466392.25293000002</v>
      </c>
      <c r="T428" s="1">
        <v>175457.19414000001</v>
      </c>
      <c r="U428" s="1">
        <v>290935.05878999998</v>
      </c>
      <c r="V428" s="1">
        <v>151570.50127000001</v>
      </c>
      <c r="W428" s="1">
        <v>314821.75166000001</v>
      </c>
      <c r="X428" s="1">
        <v>1423953</v>
      </c>
      <c r="Y428" s="1">
        <v>32634</v>
      </c>
      <c r="Z428" s="1">
        <v>22363.7</v>
      </c>
      <c r="AA428" s="1">
        <v>17251</v>
      </c>
      <c r="AB428" s="1">
        <v>44604</v>
      </c>
      <c r="AC428" s="1">
        <v>507049</v>
      </c>
      <c r="AD428" s="2">
        <f t="shared" si="32"/>
        <v>0.35608548877666607</v>
      </c>
      <c r="AE428">
        <f t="shared" si="33"/>
        <v>0</v>
      </c>
      <c r="AF428" s="1">
        <v>2708</v>
      </c>
      <c r="AG428" s="1">
        <v>279280</v>
      </c>
      <c r="AH428" s="1">
        <v>578738</v>
      </c>
      <c r="AI428" s="1">
        <v>245469</v>
      </c>
      <c r="AJ428" s="1">
        <v>333269</v>
      </c>
      <c r="AK428" s="1">
        <v>175110</v>
      </c>
      <c r="AL428" s="1">
        <v>403628</v>
      </c>
    </row>
    <row r="429" spans="1:38" x14ac:dyDescent="0.2">
      <c r="A429">
        <v>469</v>
      </c>
      <c r="B429" t="s">
        <v>336</v>
      </c>
      <c r="C429" t="s">
        <v>793</v>
      </c>
      <c r="D429" t="s">
        <v>1078</v>
      </c>
      <c r="E429" t="s">
        <v>1254</v>
      </c>
      <c r="F429" t="s">
        <v>1294</v>
      </c>
      <c r="G429" s="7">
        <v>400</v>
      </c>
      <c r="H429" t="str">
        <f t="shared" si="34"/>
        <v>K</v>
      </c>
      <c r="I429" s="1">
        <v>1102978</v>
      </c>
      <c r="J429" s="1">
        <v>10561</v>
      </c>
      <c r="K429" s="1">
        <v>7423</v>
      </c>
      <c r="L429" s="1">
        <v>5440</v>
      </c>
      <c r="M429" s="1">
        <v>4310</v>
      </c>
      <c r="N429" s="1">
        <v>0</v>
      </c>
      <c r="O429" s="2">
        <f t="shared" si="30"/>
        <v>0</v>
      </c>
      <c r="P429">
        <f t="shared" si="31"/>
        <v>0</v>
      </c>
      <c r="Q429" s="1">
        <v>376</v>
      </c>
      <c r="R429" s="1">
        <v>49476.395509999988</v>
      </c>
      <c r="S429" s="1">
        <v>559563</v>
      </c>
      <c r="T429" s="1">
        <v>24214</v>
      </c>
      <c r="U429" s="1">
        <v>535349</v>
      </c>
      <c r="V429" s="1">
        <v>167295</v>
      </c>
      <c r="W429" s="1">
        <v>392268.12476999999</v>
      </c>
      <c r="X429" s="1">
        <v>2188090.1100099999</v>
      </c>
      <c r="Y429" s="1">
        <v>15407.498170000001</v>
      </c>
      <c r="Z429" s="1">
        <v>218844.11663999999</v>
      </c>
      <c r="AA429" s="1">
        <v>205682.45064</v>
      </c>
      <c r="AB429" s="1">
        <v>6979.23128</v>
      </c>
      <c r="AC429" s="1">
        <v>0</v>
      </c>
      <c r="AD429" s="2">
        <f t="shared" si="32"/>
        <v>0</v>
      </c>
      <c r="AE429">
        <f t="shared" si="33"/>
        <v>0</v>
      </c>
      <c r="AF429" s="1">
        <v>395</v>
      </c>
      <c r="AG429" s="1">
        <v>80714.985489999992</v>
      </c>
      <c r="AH429" s="1">
        <v>989120.45192000002</v>
      </c>
      <c r="AI429" s="1">
        <v>31127.34663</v>
      </c>
      <c r="AJ429" s="1">
        <v>957993.10528999998</v>
      </c>
      <c r="AK429" s="1">
        <v>451647.58919999999</v>
      </c>
      <c r="AL429" s="1">
        <v>537472.86271999998</v>
      </c>
    </row>
    <row r="430" spans="1:38" x14ac:dyDescent="0.2">
      <c r="A430">
        <v>470</v>
      </c>
      <c r="B430" t="s">
        <v>469</v>
      </c>
      <c r="C430" t="s">
        <v>925</v>
      </c>
      <c r="D430" t="s">
        <v>49</v>
      </c>
      <c r="E430" t="s">
        <v>1291</v>
      </c>
      <c r="F430" t="s">
        <v>1306</v>
      </c>
      <c r="G430" s="7">
        <v>500</v>
      </c>
      <c r="H430" t="str">
        <f t="shared" si="34"/>
        <v>Z</v>
      </c>
      <c r="I430" s="1">
        <v>1101644.7015500001</v>
      </c>
      <c r="J430" s="1">
        <v>62341.670149999998</v>
      </c>
      <c r="K430" s="1">
        <v>61322.879390000002</v>
      </c>
      <c r="L430" s="1">
        <v>61322.879390000002</v>
      </c>
      <c r="M430" s="1">
        <v>17778.748</v>
      </c>
      <c r="N430" s="1">
        <v>1096883</v>
      </c>
      <c r="O430" s="2">
        <f t="shared" si="30"/>
        <v>0.99567764312459317</v>
      </c>
      <c r="P430">
        <f t="shared" si="31"/>
        <v>1</v>
      </c>
      <c r="Q430" s="1">
        <v>2278</v>
      </c>
      <c r="R430" s="1">
        <v>127145.99782</v>
      </c>
      <c r="S430" s="1">
        <v>494308.35963000002</v>
      </c>
      <c r="T430" s="1">
        <v>155126.57526000001</v>
      </c>
      <c r="U430" s="1">
        <v>339181.78437000001</v>
      </c>
      <c r="V430" s="1">
        <v>116284.751</v>
      </c>
      <c r="W430" s="1">
        <v>378023.60862999997</v>
      </c>
      <c r="X430" s="1">
        <v>1096229.8698400001</v>
      </c>
      <c r="Y430" s="1">
        <v>23261.194070000001</v>
      </c>
      <c r="Z430" s="1">
        <v>44368.8897</v>
      </c>
      <c r="AA430" s="1">
        <v>37143.077700000002</v>
      </c>
      <c r="AB430" s="1">
        <v>41882.537450000003</v>
      </c>
      <c r="AC430" s="1">
        <v>909870.79196719977</v>
      </c>
      <c r="AD430" s="2">
        <f t="shared" si="32"/>
        <v>0.82999999999999974</v>
      </c>
      <c r="AE430">
        <f t="shared" si="33"/>
        <v>1</v>
      </c>
      <c r="AF430" s="1">
        <v>1798</v>
      </c>
      <c r="AG430" s="1">
        <v>154844.49007999999</v>
      </c>
      <c r="AH430" s="1">
        <v>543674.68651999999</v>
      </c>
      <c r="AI430" s="1">
        <v>299677.74471</v>
      </c>
      <c r="AJ430" s="1">
        <v>243996.94180999999</v>
      </c>
      <c r="AK430" s="1">
        <v>281810.79171000002</v>
      </c>
      <c r="AL430" s="1">
        <v>261863.89481</v>
      </c>
    </row>
    <row r="431" spans="1:38" x14ac:dyDescent="0.2">
      <c r="A431">
        <v>471</v>
      </c>
      <c r="B431" t="s">
        <v>411</v>
      </c>
      <c r="C431" t="s">
        <v>868</v>
      </c>
      <c r="D431" t="s">
        <v>1036</v>
      </c>
      <c r="E431" t="s">
        <v>1210</v>
      </c>
      <c r="F431" t="s">
        <v>1305</v>
      </c>
      <c r="G431" s="7">
        <v>500</v>
      </c>
      <c r="H431" t="str">
        <f t="shared" si="34"/>
        <v>Z</v>
      </c>
      <c r="I431" s="1">
        <v>1101136</v>
      </c>
      <c r="J431" s="1">
        <v>46856</v>
      </c>
      <c r="K431" s="1">
        <v>47222</v>
      </c>
      <c r="L431" s="1">
        <v>36890</v>
      </c>
      <c r="M431" s="1">
        <v>12387</v>
      </c>
      <c r="N431" s="1">
        <v>279745</v>
      </c>
      <c r="O431" s="2">
        <f t="shared" si="30"/>
        <v>0.25405127068772615</v>
      </c>
      <c r="P431">
        <f t="shared" si="31"/>
        <v>0</v>
      </c>
      <c r="Q431" s="1">
        <v>1087</v>
      </c>
      <c r="R431" s="1">
        <v>94088</v>
      </c>
      <c r="S431" s="1">
        <v>919113</v>
      </c>
      <c r="T431" s="1">
        <v>138921</v>
      </c>
      <c r="U431" s="1">
        <v>780192</v>
      </c>
      <c r="V431" s="1">
        <v>674246</v>
      </c>
      <c r="W431" s="1">
        <v>244867</v>
      </c>
      <c r="X431" s="1">
        <v>1553783</v>
      </c>
      <c r="Y431" s="1">
        <v>-6056</v>
      </c>
      <c r="Z431" s="1">
        <v>-1958</v>
      </c>
      <c r="AA431" s="1">
        <v>-5711</v>
      </c>
      <c r="AB431" s="1">
        <v>6675</v>
      </c>
      <c r="AC431" s="1">
        <v>381440</v>
      </c>
      <c r="AD431" s="2">
        <f t="shared" si="32"/>
        <v>0.24549116575480617</v>
      </c>
      <c r="AE431">
        <f t="shared" si="33"/>
        <v>0</v>
      </c>
      <c r="AF431" s="1">
        <v>1155</v>
      </c>
      <c r="AG431" s="1">
        <v>164622</v>
      </c>
      <c r="AH431" s="1">
        <v>901822</v>
      </c>
      <c r="AI431" s="1">
        <v>70582</v>
      </c>
      <c r="AJ431" s="1">
        <v>831240</v>
      </c>
      <c r="AK431" s="1">
        <v>143204</v>
      </c>
      <c r="AL431" s="1">
        <v>758619</v>
      </c>
    </row>
    <row r="432" spans="1:38" x14ac:dyDescent="0.2">
      <c r="A432">
        <v>472</v>
      </c>
      <c r="B432" t="s">
        <v>267</v>
      </c>
      <c r="C432" t="s">
        <v>723</v>
      </c>
      <c r="D432" t="s">
        <v>965</v>
      </c>
      <c r="E432" t="s">
        <v>1122</v>
      </c>
      <c r="F432" t="s">
        <v>1306</v>
      </c>
      <c r="G432" s="7">
        <v>400</v>
      </c>
      <c r="H432" t="str">
        <f t="shared" si="34"/>
        <v>K</v>
      </c>
      <c r="I432" s="1">
        <v>1100920.23927</v>
      </c>
      <c r="J432" s="1">
        <v>68698.068700000003</v>
      </c>
      <c r="K432" s="1">
        <v>74415.021939999991</v>
      </c>
      <c r="L432" s="1">
        <v>64656.454270000002</v>
      </c>
      <c r="M432" s="1">
        <v>63862.305990000001</v>
      </c>
      <c r="N432" s="1">
        <v>616919</v>
      </c>
      <c r="O432" s="2">
        <f t="shared" si="30"/>
        <v>0.56036666235609189</v>
      </c>
      <c r="P432">
        <f t="shared" si="31"/>
        <v>1</v>
      </c>
      <c r="Q432" s="1">
        <v>2938</v>
      </c>
      <c r="R432" s="1">
        <v>260094.52760999999</v>
      </c>
      <c r="S432" s="1">
        <v>1037997.29813</v>
      </c>
      <c r="T432" s="1">
        <v>816740.80857000011</v>
      </c>
      <c r="U432" s="1">
        <v>221256.48955999999</v>
      </c>
      <c r="V432" s="1">
        <v>480678.19468999997</v>
      </c>
      <c r="W432" s="1">
        <v>557319.10344000009</v>
      </c>
      <c r="X432" s="1">
        <v>2751840</v>
      </c>
      <c r="Y432" s="1">
        <v>32912</v>
      </c>
      <c r="Z432" s="1">
        <v>-23436</v>
      </c>
      <c r="AA432" s="1">
        <v>-49740</v>
      </c>
      <c r="AB432" s="1">
        <v>134106</v>
      </c>
      <c r="AC432" s="1">
        <v>831331</v>
      </c>
      <c r="AD432" s="2">
        <f t="shared" si="32"/>
        <v>0.302100049421478</v>
      </c>
      <c r="AE432">
        <f t="shared" si="33"/>
        <v>0</v>
      </c>
      <c r="AF432" s="1">
        <v>4848</v>
      </c>
      <c r="AG432" s="1">
        <v>708509</v>
      </c>
      <c r="AH432" s="1">
        <v>2909585</v>
      </c>
      <c r="AI432" s="1">
        <v>2291196</v>
      </c>
      <c r="AJ432" s="1">
        <v>618389</v>
      </c>
      <c r="AK432" s="1">
        <v>1595008</v>
      </c>
      <c r="AL432" s="1">
        <v>1314576</v>
      </c>
    </row>
    <row r="433" spans="1:38" x14ac:dyDescent="0.2">
      <c r="A433">
        <v>473</v>
      </c>
      <c r="B433" t="s">
        <v>477</v>
      </c>
      <c r="C433" t="s">
        <v>933</v>
      </c>
      <c r="D433" t="s">
        <v>50</v>
      </c>
      <c r="E433" t="s">
        <v>1292</v>
      </c>
      <c r="F433" t="s">
        <v>1306</v>
      </c>
      <c r="G433" s="7">
        <v>500</v>
      </c>
      <c r="H433" t="str">
        <f t="shared" si="34"/>
        <v>Z</v>
      </c>
      <c r="I433" s="1">
        <v>1099480.0554200001</v>
      </c>
      <c r="J433" s="1">
        <v>19815</v>
      </c>
      <c r="K433" s="1">
        <v>19039</v>
      </c>
      <c r="L433" s="1">
        <v>12840</v>
      </c>
      <c r="M433" s="1">
        <v>13550</v>
      </c>
      <c r="N433" s="1">
        <v>1101406</v>
      </c>
      <c r="O433" s="2">
        <f t="shared" si="30"/>
        <v>1.0017516866909097</v>
      </c>
      <c r="P433">
        <f t="shared" si="31"/>
        <v>1</v>
      </c>
      <c r="Q433" s="1">
        <v>1448</v>
      </c>
      <c r="R433" s="1">
        <v>84257.165059999999</v>
      </c>
      <c r="S433" s="1">
        <v>536621</v>
      </c>
      <c r="T433" s="1">
        <v>151761</v>
      </c>
      <c r="U433" s="1">
        <v>384860</v>
      </c>
      <c r="V433" s="1">
        <v>389712</v>
      </c>
      <c r="W433" s="1">
        <v>146909.36274000001</v>
      </c>
      <c r="X433" s="1">
        <v>906499.81284999999</v>
      </c>
      <c r="Y433" s="1">
        <v>-124788.95359999999</v>
      </c>
      <c r="Z433" s="1">
        <v>-131220.48472000001</v>
      </c>
      <c r="AA433" s="1">
        <v>-131551.77536999999</v>
      </c>
      <c r="AB433" s="1">
        <v>21951.566770000001</v>
      </c>
      <c r="AC433" s="1">
        <v>908231</v>
      </c>
      <c r="AD433" s="2">
        <f t="shared" si="32"/>
        <v>1.0019097490429227</v>
      </c>
      <c r="AE433">
        <f t="shared" si="33"/>
        <v>1</v>
      </c>
      <c r="AF433" s="1">
        <v>1030</v>
      </c>
      <c r="AG433" s="1">
        <v>99166.449770000007</v>
      </c>
      <c r="AH433" s="1">
        <v>552661.58808000002</v>
      </c>
      <c r="AI433" s="1">
        <v>180283.83872</v>
      </c>
      <c r="AJ433" s="1">
        <v>372377.74936000002</v>
      </c>
      <c r="AK433" s="1">
        <v>66118.067079999993</v>
      </c>
      <c r="AL433" s="1">
        <v>486543.52100000001</v>
      </c>
    </row>
    <row r="434" spans="1:38" x14ac:dyDescent="0.2">
      <c r="A434">
        <v>474</v>
      </c>
      <c r="B434" t="s">
        <v>458</v>
      </c>
      <c r="C434" t="s">
        <v>915</v>
      </c>
      <c r="D434" t="s">
        <v>1041</v>
      </c>
      <c r="E434" t="s">
        <v>1214</v>
      </c>
      <c r="F434" t="s">
        <v>1294</v>
      </c>
      <c r="G434" s="7">
        <v>500</v>
      </c>
      <c r="H434" t="str">
        <f t="shared" si="34"/>
        <v>Z</v>
      </c>
      <c r="I434" s="1">
        <v>1099261</v>
      </c>
      <c r="J434" s="1">
        <v>43280.6</v>
      </c>
      <c r="K434" s="1">
        <v>28620</v>
      </c>
      <c r="L434" s="1">
        <v>8733.5</v>
      </c>
      <c r="M434" s="1">
        <v>14772</v>
      </c>
      <c r="N434" s="1">
        <v>1031612</v>
      </c>
      <c r="O434" s="2">
        <f t="shared" si="30"/>
        <v>0.93845956510783157</v>
      </c>
      <c r="P434">
        <f t="shared" si="31"/>
        <v>1</v>
      </c>
      <c r="Q434" s="1">
        <v>2091</v>
      </c>
      <c r="R434" s="1">
        <v>288913</v>
      </c>
      <c r="S434" s="1">
        <v>757862</v>
      </c>
      <c r="T434" s="1">
        <v>474334</v>
      </c>
      <c r="U434" s="1">
        <v>283528.09999999998</v>
      </c>
      <c r="V434" s="1">
        <v>289388.40000000002</v>
      </c>
      <c r="W434" s="1">
        <v>468473.59999999998</v>
      </c>
      <c r="X434" s="1">
        <v>1164611</v>
      </c>
      <c r="Y434" s="1">
        <v>94685</v>
      </c>
      <c r="Z434" s="1">
        <v>86434</v>
      </c>
      <c r="AA434" s="1">
        <v>68953</v>
      </c>
      <c r="AB434" s="1">
        <v>18741.7</v>
      </c>
      <c r="AC434" s="1">
        <v>1098333</v>
      </c>
      <c r="AD434" s="2">
        <f t="shared" si="32"/>
        <v>0.94309001031245632</v>
      </c>
      <c r="AE434">
        <f t="shared" si="33"/>
        <v>1</v>
      </c>
      <c r="AF434" s="1">
        <v>1791</v>
      </c>
      <c r="AG434" s="1">
        <v>277825.8</v>
      </c>
      <c r="AH434" s="1">
        <v>680308.1</v>
      </c>
      <c r="AI434" s="1">
        <v>359190.6</v>
      </c>
      <c r="AJ434" s="1">
        <v>321117.5</v>
      </c>
      <c r="AK434" s="1">
        <v>87625.3</v>
      </c>
      <c r="AL434" s="1">
        <v>592682.5</v>
      </c>
    </row>
    <row r="435" spans="1:38" x14ac:dyDescent="0.2">
      <c r="A435">
        <v>476</v>
      </c>
      <c r="B435" t="s">
        <v>485</v>
      </c>
      <c r="C435" t="s">
        <v>941</v>
      </c>
      <c r="D435" t="s">
        <v>1032</v>
      </c>
      <c r="E435" t="s">
        <v>1204</v>
      </c>
      <c r="F435" t="s">
        <v>1311</v>
      </c>
      <c r="G435" s="7">
        <v>500</v>
      </c>
      <c r="H435" t="str">
        <f t="shared" si="34"/>
        <v>Z</v>
      </c>
      <c r="I435" s="1">
        <v>1095721.24</v>
      </c>
      <c r="J435" s="1">
        <v>64298.86</v>
      </c>
      <c r="K435" s="1">
        <v>59366.720000000001</v>
      </c>
      <c r="L435" s="1">
        <v>46014.1</v>
      </c>
      <c r="M435" s="1">
        <v>72702.47</v>
      </c>
      <c r="N435" s="1">
        <v>1008163</v>
      </c>
      <c r="O435" s="2">
        <f t="shared" si="30"/>
        <v>0.92009077053211086</v>
      </c>
      <c r="P435">
        <f t="shared" si="31"/>
        <v>1</v>
      </c>
      <c r="Q435" s="1">
        <v>1779</v>
      </c>
      <c r="R435" s="1">
        <v>79744.887329999998</v>
      </c>
      <c r="S435" s="1">
        <v>787503.5</v>
      </c>
      <c r="T435" s="1">
        <v>473742.44</v>
      </c>
      <c r="U435" s="1">
        <v>313761.06</v>
      </c>
      <c r="V435" s="1">
        <v>127135.51</v>
      </c>
      <c r="W435" s="1">
        <v>660367.9963</v>
      </c>
      <c r="X435" s="1">
        <v>705114.99089000002</v>
      </c>
      <c r="Y435" s="1">
        <v>-1242.5588299999999</v>
      </c>
      <c r="Z435" s="1">
        <v>4152.0682500000003</v>
      </c>
      <c r="AA435" s="1">
        <v>646.99924999999996</v>
      </c>
      <c r="AB435" s="1">
        <v>20728.971949999999</v>
      </c>
      <c r="AC435" s="1">
        <v>633719</v>
      </c>
      <c r="AD435" s="2">
        <f t="shared" si="32"/>
        <v>0.89874560630191169</v>
      </c>
      <c r="AE435">
        <f t="shared" si="33"/>
        <v>1</v>
      </c>
      <c r="AF435" s="1">
        <v>604</v>
      </c>
      <c r="AG435" s="1">
        <v>63521.656519999997</v>
      </c>
      <c r="AH435" s="1">
        <v>517691.53694000002</v>
      </c>
      <c r="AI435" s="1">
        <v>190574.46911999999</v>
      </c>
      <c r="AJ435" s="1">
        <v>327117.06782</v>
      </c>
      <c r="AK435" s="1">
        <v>201410.32605999999</v>
      </c>
      <c r="AL435" s="1">
        <v>316281.21088000003</v>
      </c>
    </row>
    <row r="436" spans="1:38" x14ac:dyDescent="0.2">
      <c r="A436">
        <v>477</v>
      </c>
      <c r="B436" t="s">
        <v>489</v>
      </c>
      <c r="C436" t="s">
        <v>945</v>
      </c>
      <c r="D436" t="s">
        <v>1108</v>
      </c>
      <c r="E436" t="s">
        <v>1200</v>
      </c>
      <c r="F436" t="s">
        <v>1304</v>
      </c>
      <c r="G436" s="7">
        <v>500</v>
      </c>
      <c r="H436" t="str">
        <f t="shared" si="34"/>
        <v>Z</v>
      </c>
      <c r="I436" s="1">
        <v>1074022</v>
      </c>
      <c r="J436" s="1">
        <v>7708</v>
      </c>
      <c r="K436" s="1">
        <v>8219</v>
      </c>
      <c r="L436" s="1">
        <v>6472</v>
      </c>
      <c r="M436" s="1">
        <v>1727.8</v>
      </c>
      <c r="N436" s="1">
        <v>5934</v>
      </c>
      <c r="O436" s="2">
        <f t="shared" si="30"/>
        <v>5.5250264892153051E-3</v>
      </c>
      <c r="P436">
        <f t="shared" si="31"/>
        <v>0</v>
      </c>
      <c r="Q436" s="1">
        <v>121</v>
      </c>
      <c r="R436" s="1">
        <v>17670</v>
      </c>
      <c r="S436" s="1">
        <v>515487</v>
      </c>
      <c r="T436" s="1">
        <v>25178</v>
      </c>
      <c r="U436" s="1">
        <v>490309</v>
      </c>
      <c r="V436" s="1">
        <v>0</v>
      </c>
      <c r="W436" s="1">
        <v>511668</v>
      </c>
      <c r="X436" s="1">
        <v>531531</v>
      </c>
      <c r="Y436" s="1">
        <v>35042</v>
      </c>
      <c r="Z436" s="1">
        <v>35355</v>
      </c>
      <c r="AA436" s="1">
        <v>28250</v>
      </c>
      <c r="AB436" s="1">
        <v>2349.9</v>
      </c>
      <c r="AC436" s="1">
        <v>117732</v>
      </c>
      <c r="AD436" s="2">
        <f t="shared" si="32"/>
        <v>0.2214960181061876</v>
      </c>
      <c r="AE436">
        <f t="shared" si="33"/>
        <v>0</v>
      </c>
      <c r="AF436" s="1">
        <v>138</v>
      </c>
      <c r="AG436" s="1">
        <v>23702</v>
      </c>
      <c r="AH436" s="1">
        <v>202655</v>
      </c>
      <c r="AI436" s="1">
        <v>26425</v>
      </c>
      <c r="AJ436" s="1">
        <v>176230</v>
      </c>
      <c r="AK436" s="1">
        <v>0</v>
      </c>
      <c r="AL436" s="1">
        <v>202655</v>
      </c>
    </row>
    <row r="437" spans="1:38" x14ac:dyDescent="0.2">
      <c r="A437">
        <v>478</v>
      </c>
      <c r="B437" t="s">
        <v>284</v>
      </c>
      <c r="C437" t="s">
        <v>740</v>
      </c>
      <c r="D437" t="s">
        <v>989</v>
      </c>
      <c r="E437" t="s">
        <v>1149</v>
      </c>
      <c r="F437" t="s">
        <v>1220</v>
      </c>
      <c r="G437" s="7">
        <v>120</v>
      </c>
      <c r="H437" t="str">
        <f t="shared" si="34"/>
        <v>K</v>
      </c>
      <c r="I437" s="1">
        <v>1092489</v>
      </c>
      <c r="J437" s="1">
        <v>104014</v>
      </c>
      <c r="K437" s="1">
        <v>106450</v>
      </c>
      <c r="L437" s="1">
        <v>83827</v>
      </c>
      <c r="M437" s="1">
        <v>143438</v>
      </c>
      <c r="N437" s="1">
        <v>0</v>
      </c>
      <c r="O437" s="2">
        <f t="shared" si="30"/>
        <v>0</v>
      </c>
      <c r="P437">
        <f t="shared" si="31"/>
        <v>0</v>
      </c>
      <c r="Q437" s="1">
        <v>498</v>
      </c>
      <c r="R437" s="1">
        <v>78412</v>
      </c>
      <c r="S437" s="1">
        <v>2586605</v>
      </c>
      <c r="T437" s="1">
        <v>1826550</v>
      </c>
      <c r="U437" s="1">
        <v>760055</v>
      </c>
      <c r="V437" s="1">
        <v>1561053</v>
      </c>
      <c r="W437" s="1">
        <v>1025552</v>
      </c>
      <c r="X437" s="1">
        <v>2556899</v>
      </c>
      <c r="Y437" s="1">
        <v>219508</v>
      </c>
      <c r="Z437" s="1">
        <v>251319</v>
      </c>
      <c r="AA437" s="1">
        <v>201755</v>
      </c>
      <c r="AB437" s="1">
        <v>228488</v>
      </c>
      <c r="AC437" s="1">
        <v>0</v>
      </c>
      <c r="AD437" s="2">
        <f t="shared" si="32"/>
        <v>0</v>
      </c>
      <c r="AE437">
        <f t="shared" si="33"/>
        <v>0</v>
      </c>
      <c r="AF437" s="1">
        <v>537</v>
      </c>
      <c r="AG437" s="1">
        <v>106195</v>
      </c>
      <c r="AH437" s="1">
        <v>4732609</v>
      </c>
      <c r="AI437" s="1">
        <v>2911484</v>
      </c>
      <c r="AJ437" s="1">
        <v>1821125</v>
      </c>
      <c r="AK437" s="1">
        <v>2338255</v>
      </c>
      <c r="AL437" s="1">
        <v>2394354</v>
      </c>
    </row>
    <row r="438" spans="1:38" x14ac:dyDescent="0.2">
      <c r="A438">
        <v>479</v>
      </c>
      <c r="B438" t="s">
        <v>377</v>
      </c>
      <c r="C438" t="s">
        <v>834</v>
      </c>
      <c r="D438" t="s">
        <v>1049</v>
      </c>
      <c r="E438" t="s">
        <v>1222</v>
      </c>
      <c r="F438" t="s">
        <v>1305</v>
      </c>
      <c r="G438" s="7">
        <v>400</v>
      </c>
      <c r="H438" t="str">
        <f t="shared" si="34"/>
        <v>K</v>
      </c>
      <c r="I438" s="1">
        <v>1090031</v>
      </c>
      <c r="J438" s="1">
        <v>179420</v>
      </c>
      <c r="K438" s="1">
        <v>179179</v>
      </c>
      <c r="L438" s="1">
        <v>136036</v>
      </c>
      <c r="M438" s="1">
        <v>24333</v>
      </c>
      <c r="N438" s="1">
        <v>793102</v>
      </c>
      <c r="O438" s="2">
        <f t="shared" si="30"/>
        <v>0.72759582066932038</v>
      </c>
      <c r="P438">
        <f t="shared" si="31"/>
        <v>1</v>
      </c>
      <c r="Q438" s="1">
        <v>1633</v>
      </c>
      <c r="R438" s="1">
        <v>163707</v>
      </c>
      <c r="S438" s="1">
        <v>1451535</v>
      </c>
      <c r="T438" s="1">
        <v>329340</v>
      </c>
      <c r="U438" s="1">
        <v>1122195</v>
      </c>
      <c r="V438" s="1">
        <v>992267</v>
      </c>
      <c r="W438" s="1">
        <v>459268.55148999998</v>
      </c>
      <c r="X438" s="1">
        <v>1734404.1558399999</v>
      </c>
      <c r="Y438" s="1">
        <v>367584.68456999998</v>
      </c>
      <c r="Z438" s="1">
        <v>359280.29972000001</v>
      </c>
      <c r="AA438" s="1">
        <v>286347.80667999998</v>
      </c>
      <c r="AB438" s="1">
        <v>28495.776119999999</v>
      </c>
      <c r="AC438" s="1">
        <v>1403980.1558399999</v>
      </c>
      <c r="AD438" s="2">
        <f t="shared" si="32"/>
        <v>0.80948846386961615</v>
      </c>
      <c r="AE438">
        <f t="shared" si="33"/>
        <v>1</v>
      </c>
      <c r="AF438" s="1">
        <v>1673</v>
      </c>
      <c r="AG438" s="1">
        <v>207606.77087000001</v>
      </c>
      <c r="AH438" s="1">
        <v>2579750.8691799999</v>
      </c>
      <c r="AI438" s="1">
        <v>373737.2696</v>
      </c>
      <c r="AJ438" s="1">
        <v>2206013.5995800002</v>
      </c>
      <c r="AK438" s="1">
        <v>1636775.45407</v>
      </c>
      <c r="AL438" s="1">
        <v>942975.41510999994</v>
      </c>
    </row>
    <row r="439" spans="1:38" x14ac:dyDescent="0.2">
      <c r="A439">
        <v>480</v>
      </c>
      <c r="B439" t="s">
        <v>431</v>
      </c>
      <c r="C439" t="s">
        <v>888</v>
      </c>
      <c r="D439" t="s">
        <v>1101</v>
      </c>
      <c r="E439" t="s">
        <v>1277</v>
      </c>
      <c r="F439" t="s">
        <v>1220</v>
      </c>
      <c r="G439" s="7">
        <v>300</v>
      </c>
      <c r="H439" t="str">
        <f t="shared" si="34"/>
        <v>K</v>
      </c>
      <c r="I439" s="1">
        <v>1088812</v>
      </c>
      <c r="J439" s="1">
        <v>119568</v>
      </c>
      <c r="K439" s="1">
        <v>112663</v>
      </c>
      <c r="L439" s="1">
        <v>83364.299840000007</v>
      </c>
      <c r="M439" s="1">
        <v>287220.91281000001</v>
      </c>
      <c r="N439" s="1">
        <v>0</v>
      </c>
      <c r="O439" s="2">
        <f t="shared" si="30"/>
        <v>0</v>
      </c>
      <c r="P439">
        <f t="shared" si="31"/>
        <v>0</v>
      </c>
      <c r="Q439" s="1">
        <v>2305</v>
      </c>
      <c r="R439" s="1">
        <v>204233.48816000001</v>
      </c>
      <c r="S439" s="1">
        <v>8497965</v>
      </c>
      <c r="T439" s="1">
        <v>7729388</v>
      </c>
      <c r="U439" s="1">
        <v>768577</v>
      </c>
      <c r="V439" s="1">
        <v>4610149</v>
      </c>
      <c r="W439" s="1">
        <v>3887815.9084100001</v>
      </c>
      <c r="X439" s="1">
        <v>1446031.46689</v>
      </c>
      <c r="Y439" s="1">
        <v>113016.09561999999</v>
      </c>
      <c r="Z439" s="1">
        <v>24274.654460000002</v>
      </c>
      <c r="AA439" s="1">
        <v>9781.7594599999993</v>
      </c>
      <c r="AB439" s="1">
        <v>368672.34448000003</v>
      </c>
      <c r="AC439" s="1">
        <v>0</v>
      </c>
      <c r="AD439" s="2">
        <f t="shared" si="32"/>
        <v>0</v>
      </c>
      <c r="AE439">
        <f t="shared" si="33"/>
        <v>0</v>
      </c>
      <c r="AF439" s="1">
        <v>2512</v>
      </c>
      <c r="AG439" s="1">
        <v>336276.80583000003</v>
      </c>
      <c r="AH439" s="1">
        <v>10178097.30023</v>
      </c>
      <c r="AI439" s="1">
        <v>9847760.0480799992</v>
      </c>
      <c r="AJ439" s="1">
        <v>330337.25215000001</v>
      </c>
      <c r="AK439" s="1">
        <v>4568926.23049</v>
      </c>
      <c r="AL439" s="1">
        <v>5609171.0697400002</v>
      </c>
    </row>
    <row r="440" spans="1:38" x14ac:dyDescent="0.2">
      <c r="A440">
        <v>481</v>
      </c>
      <c r="B440" t="s">
        <v>479</v>
      </c>
      <c r="C440" t="s">
        <v>935</v>
      </c>
      <c r="D440" t="s">
        <v>975</v>
      </c>
      <c r="E440" t="s">
        <v>1132</v>
      </c>
      <c r="F440" t="s">
        <v>1303</v>
      </c>
      <c r="G440" s="7">
        <v>400</v>
      </c>
      <c r="H440" t="str">
        <f t="shared" si="34"/>
        <v>K</v>
      </c>
      <c r="I440" s="1">
        <v>1087490.2708699999</v>
      </c>
      <c r="J440" s="1">
        <v>57190.62902</v>
      </c>
      <c r="K440" s="1">
        <v>55563.678599999999</v>
      </c>
      <c r="L440" s="1">
        <v>45229.264949999997</v>
      </c>
      <c r="M440" s="1">
        <v>5137.24143</v>
      </c>
      <c r="N440" s="1">
        <v>437873</v>
      </c>
      <c r="O440" s="2">
        <f t="shared" si="30"/>
        <v>0.40264544127801577</v>
      </c>
      <c r="P440">
        <f t="shared" si="31"/>
        <v>0</v>
      </c>
      <c r="Q440" s="1">
        <v>347</v>
      </c>
      <c r="R440" s="1">
        <v>33248.270859999997</v>
      </c>
      <c r="S440" s="1">
        <v>607650</v>
      </c>
      <c r="T440" s="1">
        <v>96444</v>
      </c>
      <c r="U440" s="1">
        <v>511206</v>
      </c>
      <c r="V440" s="1">
        <v>213595</v>
      </c>
      <c r="W440" s="1">
        <v>394054.62964</v>
      </c>
      <c r="X440" s="1">
        <v>839555</v>
      </c>
      <c r="Y440" s="1">
        <v>9977</v>
      </c>
      <c r="Z440" s="1">
        <v>12919</v>
      </c>
      <c r="AA440" s="1">
        <v>12978</v>
      </c>
      <c r="AB440" s="1">
        <v>7189.9</v>
      </c>
      <c r="AC440" s="1">
        <v>291273</v>
      </c>
      <c r="AD440" s="2">
        <f t="shared" si="32"/>
        <v>0.3469373656282197</v>
      </c>
      <c r="AE440">
        <f t="shared" si="33"/>
        <v>0</v>
      </c>
      <c r="AF440" s="1">
        <v>316</v>
      </c>
      <c r="AG440" s="1">
        <v>42877</v>
      </c>
      <c r="AH440" s="1">
        <v>626190</v>
      </c>
      <c r="AI440" s="1">
        <v>128431</v>
      </c>
      <c r="AJ440" s="1">
        <v>497759</v>
      </c>
      <c r="AK440" s="1">
        <v>304217</v>
      </c>
      <c r="AL440" s="1">
        <v>321973</v>
      </c>
    </row>
    <row r="441" spans="1:38" x14ac:dyDescent="0.2">
      <c r="A441">
        <v>482</v>
      </c>
      <c r="B441" t="s">
        <v>401</v>
      </c>
      <c r="C441" t="s">
        <v>858</v>
      </c>
      <c r="D441" t="s">
        <v>1093</v>
      </c>
      <c r="E441" t="s">
        <v>1269</v>
      </c>
      <c r="F441" t="s">
        <v>1220</v>
      </c>
      <c r="G441" s="7">
        <v>400</v>
      </c>
      <c r="H441" t="str">
        <f t="shared" si="34"/>
        <v>K</v>
      </c>
      <c r="I441" s="1">
        <v>1084722</v>
      </c>
      <c r="J441" s="1">
        <v>20521</v>
      </c>
      <c r="K441" s="1">
        <v>21435</v>
      </c>
      <c r="L441" s="1">
        <v>16923</v>
      </c>
      <c r="M441" s="1">
        <v>15714</v>
      </c>
      <c r="N441" s="1">
        <v>0</v>
      </c>
      <c r="O441" s="2">
        <f t="shared" si="30"/>
        <v>0</v>
      </c>
      <c r="P441">
        <f t="shared" si="31"/>
        <v>0</v>
      </c>
      <c r="Q441" s="1">
        <v>3681</v>
      </c>
      <c r="R441" s="1">
        <v>238032</v>
      </c>
      <c r="S441" s="1">
        <v>332356</v>
      </c>
      <c r="T441" s="1">
        <v>75856</v>
      </c>
      <c r="U441" s="1">
        <v>256500</v>
      </c>
      <c r="V441" s="1">
        <v>184663</v>
      </c>
      <c r="W441" s="1">
        <v>137484</v>
      </c>
      <c r="X441" s="1">
        <v>1599303</v>
      </c>
      <c r="Y441" s="1">
        <v>27676</v>
      </c>
      <c r="Z441" s="1">
        <v>41767</v>
      </c>
      <c r="AA441" s="1">
        <v>35060</v>
      </c>
      <c r="AB441" s="1">
        <v>18477</v>
      </c>
      <c r="AC441" s="1">
        <v>0</v>
      </c>
      <c r="AD441" s="2">
        <f t="shared" si="32"/>
        <v>0</v>
      </c>
      <c r="AE441">
        <f t="shared" si="33"/>
        <v>0</v>
      </c>
      <c r="AF441" s="1">
        <v>3289</v>
      </c>
      <c r="AG441" s="1">
        <v>340083</v>
      </c>
      <c r="AH441" s="1">
        <v>544692</v>
      </c>
      <c r="AI441" s="1">
        <v>99263</v>
      </c>
      <c r="AJ441" s="1">
        <v>445429</v>
      </c>
      <c r="AK441" s="1">
        <v>292075</v>
      </c>
      <c r="AL441" s="1">
        <v>252371</v>
      </c>
    </row>
    <row r="442" spans="1:38" x14ac:dyDescent="0.2">
      <c r="A442">
        <v>484</v>
      </c>
      <c r="B442" t="s">
        <v>374</v>
      </c>
      <c r="C442" t="s">
        <v>831</v>
      </c>
      <c r="D442" t="s">
        <v>1089</v>
      </c>
      <c r="E442" t="s">
        <v>1263</v>
      </c>
      <c r="F442" t="s">
        <v>1308</v>
      </c>
      <c r="G442" s="7">
        <v>400</v>
      </c>
      <c r="H442" t="str">
        <f t="shared" si="34"/>
        <v>K</v>
      </c>
      <c r="I442" s="1">
        <v>1079771</v>
      </c>
      <c r="J442" s="1">
        <v>13789</v>
      </c>
      <c r="K442" s="1">
        <v>13672</v>
      </c>
      <c r="L442" s="1">
        <v>10543</v>
      </c>
      <c r="M442" s="1">
        <v>3395</v>
      </c>
      <c r="N442" s="1">
        <v>46639</v>
      </c>
      <c r="O442" s="2">
        <f t="shared" si="30"/>
        <v>4.3193417863602562E-2</v>
      </c>
      <c r="P442">
        <f t="shared" si="31"/>
        <v>0</v>
      </c>
      <c r="Q442" s="1">
        <v>655</v>
      </c>
      <c r="R442" s="1">
        <v>54151.607520000012</v>
      </c>
      <c r="S442" s="1">
        <v>186241</v>
      </c>
      <c r="T442" s="1">
        <v>52262</v>
      </c>
      <c r="U442" s="1">
        <v>133979</v>
      </c>
      <c r="V442" s="1">
        <v>81804</v>
      </c>
      <c r="W442" s="1">
        <v>104437.25511</v>
      </c>
      <c r="X442" s="1">
        <v>1759815</v>
      </c>
      <c r="Y442" s="1">
        <v>33903</v>
      </c>
      <c r="Z442" s="1">
        <v>35034</v>
      </c>
      <c r="AA442" s="1">
        <v>27684</v>
      </c>
      <c r="AB442" s="1">
        <v>5453</v>
      </c>
      <c r="AC442" s="1">
        <v>92357</v>
      </c>
      <c r="AD442" s="2">
        <f t="shared" si="32"/>
        <v>5.2481084659467048E-2</v>
      </c>
      <c r="AE442">
        <f t="shared" si="33"/>
        <v>0</v>
      </c>
      <c r="AF442" s="1">
        <v>725</v>
      </c>
      <c r="AG442" s="1">
        <v>90034</v>
      </c>
      <c r="AH442" s="1">
        <v>397728</v>
      </c>
      <c r="AI442" s="1">
        <v>122981</v>
      </c>
      <c r="AJ442" s="1">
        <v>274747</v>
      </c>
      <c r="AK442" s="1">
        <v>233750</v>
      </c>
      <c r="AL442" s="1">
        <v>163978</v>
      </c>
    </row>
    <row r="443" spans="1:38" x14ac:dyDescent="0.2">
      <c r="A443">
        <v>485</v>
      </c>
      <c r="B443" t="s">
        <v>409</v>
      </c>
      <c r="C443" t="s">
        <v>866</v>
      </c>
      <c r="D443" t="s">
        <v>1094</v>
      </c>
      <c r="E443" t="s">
        <v>1270</v>
      </c>
      <c r="F443" t="s">
        <v>1294</v>
      </c>
      <c r="G443" s="7">
        <v>540</v>
      </c>
      <c r="H443" t="str">
        <f t="shared" si="34"/>
        <v>Z</v>
      </c>
      <c r="I443" s="1">
        <v>1079511</v>
      </c>
      <c r="J443" s="1">
        <v>44432</v>
      </c>
      <c r="K443" s="1">
        <v>45299</v>
      </c>
      <c r="L443" s="1">
        <v>44268</v>
      </c>
      <c r="M443" s="1">
        <v>76658</v>
      </c>
      <c r="N443" s="1">
        <v>406478</v>
      </c>
      <c r="O443" s="2">
        <f t="shared" si="30"/>
        <v>0.37653900701336068</v>
      </c>
      <c r="P443">
        <f t="shared" si="31"/>
        <v>0</v>
      </c>
      <c r="Q443" s="1">
        <v>89</v>
      </c>
      <c r="R443" s="1">
        <v>137752.095</v>
      </c>
      <c r="S443" s="1">
        <v>1237722</v>
      </c>
      <c r="T443" s="1">
        <v>931200</v>
      </c>
      <c r="U443" s="1">
        <v>306522</v>
      </c>
      <c r="V443" s="1">
        <v>986210</v>
      </c>
      <c r="W443" s="1">
        <v>251511.959</v>
      </c>
      <c r="X443" s="1">
        <v>1565352.841</v>
      </c>
      <c r="Y443" s="1">
        <v>105124.658</v>
      </c>
      <c r="Z443" s="1">
        <v>108515.08500000001</v>
      </c>
      <c r="AA443" s="1">
        <v>106990.26</v>
      </c>
      <c r="AB443" s="1">
        <v>146974.67199999999</v>
      </c>
      <c r="AC443" s="1">
        <v>674374</v>
      </c>
      <c r="AD443" s="2">
        <f t="shared" si="32"/>
        <v>0.4308127741788792</v>
      </c>
      <c r="AE443">
        <f t="shared" si="33"/>
        <v>0</v>
      </c>
      <c r="AF443" s="1">
        <v>1395</v>
      </c>
      <c r="AG443" s="1">
        <v>214353.74900000001</v>
      </c>
      <c r="AH443" s="1">
        <v>1860055.0249999999</v>
      </c>
      <c r="AI443" s="1">
        <v>1182883.6170000001</v>
      </c>
      <c r="AJ443" s="1">
        <v>677171.40800000005</v>
      </c>
      <c r="AK443" s="1">
        <v>1373648.3189999999</v>
      </c>
      <c r="AL443" s="1">
        <v>486406.70600000001</v>
      </c>
    </row>
    <row r="444" spans="1:38" x14ac:dyDescent="0.2">
      <c r="A444">
        <v>486</v>
      </c>
      <c r="B444" t="s">
        <v>289</v>
      </c>
      <c r="C444" t="s">
        <v>745</v>
      </c>
      <c r="D444" t="s">
        <v>964</v>
      </c>
      <c r="E444" t="s">
        <v>1121</v>
      </c>
      <c r="F444" t="s">
        <v>1220</v>
      </c>
      <c r="G444" s="7">
        <v>400</v>
      </c>
      <c r="H444" t="str">
        <f t="shared" si="34"/>
        <v>K</v>
      </c>
      <c r="I444" s="1">
        <v>1078620.9754300001</v>
      </c>
      <c r="J444" s="1">
        <v>12263</v>
      </c>
      <c r="K444" s="1">
        <v>11784</v>
      </c>
      <c r="L444" s="1">
        <v>8927</v>
      </c>
      <c r="M444" s="1">
        <v>4371</v>
      </c>
      <c r="N444" s="1">
        <v>0</v>
      </c>
      <c r="O444" s="2">
        <f t="shared" si="30"/>
        <v>0</v>
      </c>
      <c r="P444">
        <f t="shared" si="31"/>
        <v>0</v>
      </c>
      <c r="Q444" s="1">
        <v>415</v>
      </c>
      <c r="R444" s="1">
        <v>29474.87484</v>
      </c>
      <c r="S444" s="1">
        <v>45791</v>
      </c>
      <c r="T444" s="1">
        <v>31173</v>
      </c>
      <c r="U444" s="1">
        <v>14618</v>
      </c>
      <c r="V444" s="1">
        <v>12645</v>
      </c>
      <c r="W444" s="1">
        <v>33145.687989999999</v>
      </c>
      <c r="X444" s="1">
        <v>2517706.4308600002</v>
      </c>
      <c r="Y444" s="1">
        <v>2669.6389199999999</v>
      </c>
      <c r="Z444" s="1">
        <v>2233.4642100000001</v>
      </c>
      <c r="AA444" s="1">
        <v>825.63256000000001</v>
      </c>
      <c r="AB444" s="1">
        <v>6961.4485300000006</v>
      </c>
      <c r="AC444" s="1">
        <v>0</v>
      </c>
      <c r="AD444" s="2">
        <f t="shared" si="32"/>
        <v>0</v>
      </c>
      <c r="AE444">
        <f t="shared" si="33"/>
        <v>0</v>
      </c>
      <c r="AF444" s="1">
        <v>821</v>
      </c>
      <c r="AG444" s="1">
        <v>88092.123859999992</v>
      </c>
      <c r="AH444" s="1">
        <v>65558.606419999996</v>
      </c>
      <c r="AI444" s="1">
        <v>51846.60194</v>
      </c>
      <c r="AJ444" s="1">
        <v>13712.00448</v>
      </c>
      <c r="AK444" s="1">
        <v>22573.114809999999</v>
      </c>
      <c r="AL444" s="1">
        <v>42985.491609999997</v>
      </c>
    </row>
    <row r="445" spans="1:38" x14ac:dyDescent="0.2">
      <c r="A445">
        <v>489</v>
      </c>
      <c r="B445" t="s">
        <v>451</v>
      </c>
      <c r="C445" t="s">
        <v>908</v>
      </c>
      <c r="D445" t="s">
        <v>1107</v>
      </c>
      <c r="E445" t="s">
        <v>1284</v>
      </c>
      <c r="F445" t="s">
        <v>1306</v>
      </c>
      <c r="G445" s="7">
        <v>500</v>
      </c>
      <c r="H445" t="str">
        <f t="shared" si="34"/>
        <v>Z</v>
      </c>
      <c r="I445" s="1">
        <v>1070404</v>
      </c>
      <c r="J445" s="1">
        <v>59312</v>
      </c>
      <c r="K445" s="1">
        <v>63486</v>
      </c>
      <c r="L445" s="1">
        <v>48747</v>
      </c>
      <c r="M445" s="1">
        <v>30862</v>
      </c>
      <c r="N445" s="1">
        <v>1057679</v>
      </c>
      <c r="O445" s="2">
        <f t="shared" si="30"/>
        <v>0.98811196520192379</v>
      </c>
      <c r="P445">
        <f t="shared" si="31"/>
        <v>1</v>
      </c>
      <c r="Q445" s="1">
        <v>3025</v>
      </c>
      <c r="R445" s="1">
        <v>209606.04386999999</v>
      </c>
      <c r="S445" s="1">
        <v>666859</v>
      </c>
      <c r="T445" s="1">
        <v>248042</v>
      </c>
      <c r="U445" s="1">
        <v>418817</v>
      </c>
      <c r="V445" s="1">
        <v>410783</v>
      </c>
      <c r="W445" s="1">
        <v>256075.3285</v>
      </c>
      <c r="X445" s="1">
        <v>1274473.4298099999</v>
      </c>
      <c r="Y445" s="1">
        <v>72231.717739999993</v>
      </c>
      <c r="Z445" s="1">
        <v>88261.338770000002</v>
      </c>
      <c r="AA445" s="1">
        <v>75219.47077</v>
      </c>
      <c r="AB445" s="1">
        <v>44914.105590000006</v>
      </c>
      <c r="AC445" s="1">
        <v>1204051</v>
      </c>
      <c r="AD445" s="2">
        <f t="shared" si="32"/>
        <v>0.94474390115728146</v>
      </c>
      <c r="AE445">
        <f t="shared" si="33"/>
        <v>1</v>
      </c>
      <c r="AF445" s="1">
        <v>3556</v>
      </c>
      <c r="AG445" s="1">
        <v>376501.28545999998</v>
      </c>
      <c r="AH445" s="1">
        <v>1087607.7334700001</v>
      </c>
      <c r="AI445" s="1">
        <v>242226.64152999999</v>
      </c>
      <c r="AJ445" s="1">
        <v>845381.09194000007</v>
      </c>
      <c r="AK445" s="1">
        <v>817425.07479999994</v>
      </c>
      <c r="AL445" s="1">
        <v>270182.65866999998</v>
      </c>
    </row>
    <row r="446" spans="1:38" x14ac:dyDescent="0.2">
      <c r="A446">
        <v>490</v>
      </c>
      <c r="B446" t="s">
        <v>269</v>
      </c>
      <c r="C446" t="s">
        <v>725</v>
      </c>
      <c r="D446" t="s">
        <v>1059</v>
      </c>
      <c r="E446" t="s">
        <v>1232</v>
      </c>
      <c r="F446" t="s">
        <v>1306</v>
      </c>
      <c r="G446" s="7">
        <v>100</v>
      </c>
      <c r="H446" t="str">
        <f t="shared" si="34"/>
        <v>K</v>
      </c>
      <c r="I446" s="1">
        <v>1069613</v>
      </c>
      <c r="J446" s="1">
        <v>130331</v>
      </c>
      <c r="K446" s="1">
        <v>114299</v>
      </c>
      <c r="L446" s="1">
        <v>72322</v>
      </c>
      <c r="M446" s="1">
        <v>54632</v>
      </c>
      <c r="N446" s="1">
        <v>276138</v>
      </c>
      <c r="O446" s="2">
        <f t="shared" si="30"/>
        <v>0.25816627135234893</v>
      </c>
      <c r="P446">
        <f t="shared" si="31"/>
        <v>0</v>
      </c>
      <c r="Q446" s="1">
        <v>3767</v>
      </c>
      <c r="R446" s="1">
        <v>290494</v>
      </c>
      <c r="S446" s="1">
        <v>2263601</v>
      </c>
      <c r="T446" s="1">
        <v>524766</v>
      </c>
      <c r="U446" s="1">
        <v>1738835</v>
      </c>
      <c r="V446" s="1">
        <v>989724</v>
      </c>
      <c r="W446" s="1">
        <v>924126</v>
      </c>
      <c r="X446" s="1">
        <v>1710752</v>
      </c>
      <c r="Y446" s="1">
        <v>307092</v>
      </c>
      <c r="Z446" s="1">
        <v>298715</v>
      </c>
      <c r="AA446" s="1">
        <v>228740</v>
      </c>
      <c r="AB446" s="1">
        <v>44482</v>
      </c>
      <c r="AC446" s="1">
        <v>187722</v>
      </c>
      <c r="AD446" s="2">
        <f t="shared" si="32"/>
        <v>0.10973069153214493</v>
      </c>
      <c r="AE446">
        <f t="shared" si="33"/>
        <v>0</v>
      </c>
      <c r="AF446" s="1">
        <v>2964</v>
      </c>
      <c r="AG446" s="1">
        <v>395483</v>
      </c>
      <c r="AH446" s="1">
        <v>3311656</v>
      </c>
      <c r="AI446" s="1">
        <v>1057533</v>
      </c>
      <c r="AJ446" s="1">
        <v>2252948</v>
      </c>
      <c r="AK446" s="1">
        <v>1229421</v>
      </c>
      <c r="AL446" s="1">
        <v>2082235</v>
      </c>
    </row>
    <row r="447" spans="1:38" x14ac:dyDescent="0.2">
      <c r="A447">
        <v>491</v>
      </c>
      <c r="B447" t="s">
        <v>439</v>
      </c>
      <c r="C447" t="s">
        <v>896</v>
      </c>
      <c r="D447" t="s">
        <v>1046</v>
      </c>
      <c r="E447" t="s">
        <v>1133</v>
      </c>
      <c r="F447" t="s">
        <v>1306</v>
      </c>
      <c r="G447" s="7">
        <v>400</v>
      </c>
      <c r="H447" t="str">
        <f t="shared" si="34"/>
        <v>K</v>
      </c>
      <c r="I447" s="1">
        <v>1068266</v>
      </c>
      <c r="J447" s="1">
        <v>87492</v>
      </c>
      <c r="K447" s="1">
        <v>79357</v>
      </c>
      <c r="L447" s="1">
        <v>63993</v>
      </c>
      <c r="M447" s="1">
        <v>110991</v>
      </c>
      <c r="N447" s="1">
        <v>16059.65266</v>
      </c>
      <c r="O447" s="2">
        <f t="shared" si="30"/>
        <v>1.5033383689081184E-2</v>
      </c>
      <c r="P447">
        <f t="shared" si="31"/>
        <v>0</v>
      </c>
      <c r="Q447" s="1">
        <v>2511</v>
      </c>
      <c r="R447" s="1">
        <v>146951</v>
      </c>
      <c r="S447" s="1">
        <v>1431314</v>
      </c>
      <c r="T447" s="1">
        <v>847036</v>
      </c>
      <c r="U447" s="1">
        <v>584278</v>
      </c>
      <c r="V447" s="1">
        <v>863286</v>
      </c>
      <c r="W447" s="1">
        <v>555812</v>
      </c>
      <c r="X447" s="1">
        <v>1375025</v>
      </c>
      <c r="Y447" s="1">
        <v>125903</v>
      </c>
      <c r="Z447" s="1">
        <v>110979</v>
      </c>
      <c r="AA447" s="1">
        <v>86875</v>
      </c>
      <c r="AB447" s="1">
        <v>134237</v>
      </c>
      <c r="AC447" s="1">
        <v>7385</v>
      </c>
      <c r="AD447" s="2">
        <f t="shared" si="32"/>
        <v>5.3708114397920037E-3</v>
      </c>
      <c r="AE447">
        <f t="shared" si="33"/>
        <v>0</v>
      </c>
      <c r="AF447" s="1">
        <v>2125</v>
      </c>
      <c r="AG447" s="1">
        <v>196628</v>
      </c>
      <c r="AH447" s="1">
        <v>1684795</v>
      </c>
      <c r="AI447" s="1">
        <v>909353</v>
      </c>
      <c r="AJ447" s="1">
        <v>775442</v>
      </c>
      <c r="AK447" s="1">
        <v>1063180</v>
      </c>
      <c r="AL447" s="1">
        <v>621615</v>
      </c>
    </row>
    <row r="448" spans="1:38" x14ac:dyDescent="0.2">
      <c r="A448">
        <v>492</v>
      </c>
      <c r="B448" t="s">
        <v>440</v>
      </c>
      <c r="C448" t="s">
        <v>897</v>
      </c>
      <c r="D448" t="s">
        <v>34</v>
      </c>
      <c r="E448" t="s">
        <v>1236</v>
      </c>
      <c r="F448" t="s">
        <v>1308</v>
      </c>
      <c r="G448" s="7">
        <v>400</v>
      </c>
      <c r="H448" t="str">
        <f t="shared" si="34"/>
        <v>K</v>
      </c>
      <c r="I448" s="1">
        <v>340200</v>
      </c>
      <c r="J448" s="1">
        <v>7728.4514800000006</v>
      </c>
      <c r="K448" s="1">
        <v>6223.0859800000007</v>
      </c>
      <c r="L448" s="1">
        <v>4528</v>
      </c>
      <c r="M448" s="1">
        <v>12931.48213</v>
      </c>
      <c r="N448" s="1">
        <v>50090</v>
      </c>
      <c r="O448" s="2">
        <f t="shared" si="30"/>
        <v>0.14723691945914169</v>
      </c>
      <c r="P448">
        <f t="shared" si="31"/>
        <v>0</v>
      </c>
      <c r="Q448" s="1">
        <v>913</v>
      </c>
      <c r="R448" s="1">
        <v>63862.346259999998</v>
      </c>
      <c r="S448" s="1">
        <v>312331.90058999998</v>
      </c>
      <c r="T448" s="1">
        <v>246782.51001</v>
      </c>
      <c r="U448" s="1">
        <v>65549.390579999992</v>
      </c>
      <c r="V448" s="1">
        <v>212348.22558999999</v>
      </c>
      <c r="W448" s="1">
        <v>99984</v>
      </c>
      <c r="X448" s="1">
        <v>1360292</v>
      </c>
      <c r="Y448" s="1">
        <v>-93747</v>
      </c>
      <c r="Z448" s="1">
        <v>-108409</v>
      </c>
      <c r="AA448" s="1">
        <v>-90572</v>
      </c>
      <c r="AB448" s="1">
        <v>33324</v>
      </c>
      <c r="AC448" s="1">
        <v>953231</v>
      </c>
      <c r="AD448" s="2">
        <f t="shared" si="32"/>
        <v>0.70075469090459985</v>
      </c>
      <c r="AE448">
        <f t="shared" si="33"/>
        <v>1</v>
      </c>
      <c r="AF448" s="1">
        <v>1724</v>
      </c>
      <c r="AG448" s="1">
        <v>171975</v>
      </c>
      <c r="AH448" s="1">
        <v>646426</v>
      </c>
      <c r="AI448" s="1">
        <v>395481</v>
      </c>
      <c r="AJ448" s="1">
        <v>250945</v>
      </c>
      <c r="AK448" s="1">
        <v>224626</v>
      </c>
      <c r="AL448" s="1">
        <v>421800</v>
      </c>
    </row>
    <row r="449" spans="1:38" x14ac:dyDescent="0.2">
      <c r="A449">
        <v>493</v>
      </c>
      <c r="B449" t="s">
        <v>455</v>
      </c>
      <c r="C449" t="s">
        <v>912</v>
      </c>
      <c r="D449" t="s">
        <v>1032</v>
      </c>
      <c r="E449" t="s">
        <v>1204</v>
      </c>
      <c r="F449" t="s">
        <v>1311</v>
      </c>
      <c r="G449" s="7">
        <v>540</v>
      </c>
      <c r="H449" t="str">
        <f t="shared" si="34"/>
        <v>Z</v>
      </c>
      <c r="I449" s="1">
        <v>936788</v>
      </c>
      <c r="J449" s="1">
        <v>29194</v>
      </c>
      <c r="K449" s="1">
        <v>22944</v>
      </c>
      <c r="L449" s="1">
        <v>16784</v>
      </c>
      <c r="M449" s="1">
        <v>38443</v>
      </c>
      <c r="N449" s="1">
        <v>0</v>
      </c>
      <c r="O449" s="2">
        <f t="shared" si="30"/>
        <v>0</v>
      </c>
      <c r="P449">
        <f t="shared" si="31"/>
        <v>0</v>
      </c>
      <c r="Q449" s="1">
        <v>1219</v>
      </c>
      <c r="R449" s="1">
        <v>87253</v>
      </c>
      <c r="S449" s="1">
        <v>381451</v>
      </c>
      <c r="T449" s="1">
        <v>219726</v>
      </c>
      <c r="U449" s="1">
        <v>161725</v>
      </c>
      <c r="V449" s="1">
        <v>91345</v>
      </c>
      <c r="W449" s="1">
        <v>290106</v>
      </c>
      <c r="X449" s="1">
        <v>1214623</v>
      </c>
      <c r="Y449" s="1">
        <v>22333</v>
      </c>
      <c r="Z449" s="1">
        <v>35004</v>
      </c>
      <c r="AA449" s="1">
        <v>30893</v>
      </c>
      <c r="AB449" s="1">
        <v>34071</v>
      </c>
      <c r="AC449" s="1">
        <v>0</v>
      </c>
      <c r="AD449" s="2">
        <f t="shared" si="32"/>
        <v>0</v>
      </c>
      <c r="AE449">
        <f t="shared" si="33"/>
        <v>0</v>
      </c>
      <c r="AF449" s="1">
        <v>1002</v>
      </c>
      <c r="AG449" s="1">
        <v>103825</v>
      </c>
      <c r="AH449" s="1">
        <v>389839</v>
      </c>
      <c r="AI449" s="1">
        <v>229469</v>
      </c>
      <c r="AJ449" s="1">
        <v>160370</v>
      </c>
      <c r="AK449" s="1">
        <v>151629</v>
      </c>
      <c r="AL449" s="1">
        <v>238210</v>
      </c>
    </row>
    <row r="450" spans="1:38" x14ac:dyDescent="0.2">
      <c r="A450">
        <v>494</v>
      </c>
      <c r="B450" t="s">
        <v>478</v>
      </c>
      <c r="C450" t="s">
        <v>934</v>
      </c>
      <c r="D450" t="s">
        <v>998</v>
      </c>
      <c r="E450" t="s">
        <v>1158</v>
      </c>
      <c r="F450" t="s">
        <v>1311</v>
      </c>
      <c r="G450" s="7">
        <v>500</v>
      </c>
      <c r="H450" t="str">
        <f t="shared" si="34"/>
        <v>Z</v>
      </c>
      <c r="I450" s="1">
        <v>1062505</v>
      </c>
      <c r="J450" s="1">
        <v>960180</v>
      </c>
      <c r="K450" s="1">
        <v>960132</v>
      </c>
      <c r="L450" s="1">
        <v>960132</v>
      </c>
      <c r="M450" s="1">
        <v>0</v>
      </c>
      <c r="N450" s="1">
        <v>0</v>
      </c>
      <c r="O450" s="2">
        <f t="shared" ref="O450:O455" si="35">IF(I450=0,0,N450/I450)</f>
        <v>0</v>
      </c>
      <c r="P450">
        <f t="shared" ref="P450:P455" si="36">IF(O450&gt;50%,1,0)</f>
        <v>0</v>
      </c>
      <c r="Q450" s="1">
        <v>33</v>
      </c>
      <c r="R450" s="1">
        <v>4449</v>
      </c>
      <c r="S450" s="1">
        <v>983457</v>
      </c>
      <c r="T450" s="1">
        <v>0</v>
      </c>
      <c r="U450" s="1">
        <v>983457</v>
      </c>
      <c r="V450" s="1">
        <v>0</v>
      </c>
      <c r="W450" s="1">
        <v>23325</v>
      </c>
      <c r="X450" s="1">
        <v>896868.6</v>
      </c>
      <c r="Y450" s="1">
        <v>-169579.8</v>
      </c>
      <c r="Z450" s="1">
        <v>-169876</v>
      </c>
      <c r="AA450" s="1">
        <v>-169876</v>
      </c>
      <c r="AB450" s="1">
        <v>22305</v>
      </c>
      <c r="AC450" s="1">
        <v>0</v>
      </c>
      <c r="AD450" s="2">
        <f t="shared" ref="AD450:AD455" si="37">IF(X450=0,0,AC450/X450)</f>
        <v>0</v>
      </c>
      <c r="AE450">
        <f t="shared" ref="AE450:AE455" si="38">IF(AD450&gt;50%,1,0)</f>
        <v>0</v>
      </c>
      <c r="AF450" s="1">
        <v>24</v>
      </c>
      <c r="AG450" s="1">
        <v>228361</v>
      </c>
      <c r="AH450" s="1">
        <v>13469.9</v>
      </c>
      <c r="AI450" s="1">
        <v>0</v>
      </c>
      <c r="AJ450" s="1">
        <v>13469.9</v>
      </c>
      <c r="AK450" s="1">
        <v>-21575</v>
      </c>
      <c r="AL450" s="1">
        <v>35044</v>
      </c>
    </row>
    <row r="451" spans="1:38" x14ac:dyDescent="0.2">
      <c r="A451">
        <v>495</v>
      </c>
      <c r="B451" t="s">
        <v>448</v>
      </c>
      <c r="C451" t="s">
        <v>905</v>
      </c>
      <c r="D451" t="s">
        <v>1046</v>
      </c>
      <c r="E451" t="s">
        <v>1133</v>
      </c>
      <c r="F451" t="s">
        <v>1301</v>
      </c>
      <c r="G451" s="7">
        <v>400</v>
      </c>
      <c r="H451" t="str">
        <f t="shared" ref="H451:H454" si="39">IF(G451&lt;500,"K","Z")</f>
        <v>K</v>
      </c>
      <c r="I451" s="1">
        <v>1009386.91461</v>
      </c>
      <c r="J451" s="1">
        <v>15591.82467</v>
      </c>
      <c r="K451" s="1">
        <v>26708.800429999999</v>
      </c>
      <c r="L451" s="1">
        <v>19511.37343</v>
      </c>
      <c r="M451" s="1">
        <v>24003.026089999999</v>
      </c>
      <c r="N451" s="1">
        <v>0</v>
      </c>
      <c r="O451" s="2">
        <f t="shared" si="35"/>
        <v>0</v>
      </c>
      <c r="P451">
        <f t="shared" si="36"/>
        <v>0</v>
      </c>
      <c r="Q451" s="1">
        <v>3168</v>
      </c>
      <c r="R451" s="1">
        <v>142840.54207</v>
      </c>
      <c r="S451" s="1">
        <v>860846.28961999994</v>
      </c>
      <c r="T451" s="1">
        <v>343288.49738999997</v>
      </c>
      <c r="U451" s="1">
        <v>517557.79223000002</v>
      </c>
      <c r="V451" s="1">
        <v>471684.98693999997</v>
      </c>
      <c r="W451" s="1">
        <v>389161.30268000002</v>
      </c>
      <c r="X451" s="1">
        <v>1302607.0121599999</v>
      </c>
      <c r="Y451" s="1">
        <v>161.34621000000001</v>
      </c>
      <c r="Z451" s="1">
        <v>75551.535080000001</v>
      </c>
      <c r="AA451" s="1">
        <v>73013.58008</v>
      </c>
      <c r="AB451" s="1">
        <v>20861.05889</v>
      </c>
      <c r="AC451" s="1">
        <v>0</v>
      </c>
      <c r="AD451" s="2">
        <f t="shared" si="37"/>
        <v>0</v>
      </c>
      <c r="AE451">
        <f t="shared" si="38"/>
        <v>0</v>
      </c>
      <c r="AF451" s="1">
        <v>2227</v>
      </c>
      <c r="AG451" s="1">
        <v>206524.0797</v>
      </c>
      <c r="AH451" s="1">
        <v>1322908.00563</v>
      </c>
      <c r="AI451" s="1">
        <v>285036.86385999998</v>
      </c>
      <c r="AJ451" s="1">
        <v>1037871.14177</v>
      </c>
      <c r="AK451" s="1">
        <v>573186.03125999996</v>
      </c>
      <c r="AL451" s="1">
        <v>749721.97436999995</v>
      </c>
    </row>
    <row r="452" spans="1:38" x14ac:dyDescent="0.2">
      <c r="A452">
        <v>496</v>
      </c>
      <c r="B452" t="s">
        <v>481</v>
      </c>
      <c r="C452" t="s">
        <v>937</v>
      </c>
      <c r="D452" t="s">
        <v>994</v>
      </c>
      <c r="E452" t="s">
        <v>1139</v>
      </c>
      <c r="F452" t="s">
        <v>1300</v>
      </c>
      <c r="G452" s="7">
        <v>400</v>
      </c>
      <c r="H452" t="str">
        <f t="shared" si="39"/>
        <v>K</v>
      </c>
      <c r="I452" s="1">
        <v>1060201</v>
      </c>
      <c r="J452" s="1">
        <v>-4505</v>
      </c>
      <c r="K452" s="1">
        <v>-5711</v>
      </c>
      <c r="L452" s="1">
        <v>-5391</v>
      </c>
      <c r="M452" s="1">
        <v>12828</v>
      </c>
      <c r="N452" s="1">
        <v>9148</v>
      </c>
      <c r="O452" s="2">
        <f t="shared" si="35"/>
        <v>8.628552510325873E-3</v>
      </c>
      <c r="P452">
        <f t="shared" si="36"/>
        <v>0</v>
      </c>
      <c r="Q452" s="1">
        <v>221</v>
      </c>
      <c r="R452" s="1">
        <v>9329.6561299999994</v>
      </c>
      <c r="S452" s="1">
        <v>365538</v>
      </c>
      <c r="T452" s="1">
        <v>285849</v>
      </c>
      <c r="U452" s="1">
        <v>79689</v>
      </c>
      <c r="V452" s="1">
        <v>273693</v>
      </c>
      <c r="W452" s="1">
        <v>91845.410529999994</v>
      </c>
      <c r="X452" s="1">
        <v>760646.50985000003</v>
      </c>
      <c r="Y452" s="1">
        <v>-3141.9619400000001</v>
      </c>
      <c r="Z452" s="1">
        <v>-6691.4600599999994</v>
      </c>
      <c r="AA452" s="1">
        <v>-7272.7000599999992</v>
      </c>
      <c r="AB452" s="1">
        <v>9743.4212800000005</v>
      </c>
      <c r="AC452" s="1">
        <v>19252</v>
      </c>
      <c r="AD452" s="2">
        <f t="shared" si="37"/>
        <v>2.531004842682642E-2</v>
      </c>
      <c r="AE452">
        <f t="shared" si="38"/>
        <v>0</v>
      </c>
      <c r="AF452" s="1">
        <v>182</v>
      </c>
      <c r="AG452" s="1">
        <v>13822.583269999999</v>
      </c>
      <c r="AH452" s="1">
        <v>344660.31150000001</v>
      </c>
      <c r="AI452" s="1">
        <v>238692.55361999999</v>
      </c>
      <c r="AJ452" s="1">
        <v>105967.75788</v>
      </c>
      <c r="AK452" s="1">
        <v>246290.95160999999</v>
      </c>
      <c r="AL452" s="1">
        <v>98369.359890000007</v>
      </c>
    </row>
    <row r="453" spans="1:38" x14ac:dyDescent="0.2">
      <c r="A453">
        <v>497</v>
      </c>
      <c r="B453" t="s">
        <v>342</v>
      </c>
      <c r="C453" t="s">
        <v>799</v>
      </c>
      <c r="D453" t="s">
        <v>998</v>
      </c>
      <c r="E453" t="s">
        <v>1158</v>
      </c>
      <c r="F453" t="s">
        <v>1311</v>
      </c>
      <c r="G453" s="7">
        <v>500</v>
      </c>
      <c r="H453" t="str">
        <f t="shared" si="39"/>
        <v>Z</v>
      </c>
      <c r="I453" s="1">
        <v>1060128.49416</v>
      </c>
      <c r="J453" s="1">
        <v>44095.982590000007</v>
      </c>
      <c r="K453" s="1">
        <v>48307.727049999987</v>
      </c>
      <c r="L453" s="1">
        <v>39132.776210000004</v>
      </c>
      <c r="M453" s="1">
        <v>92.823419999999999</v>
      </c>
      <c r="N453" s="1">
        <v>159117</v>
      </c>
      <c r="O453" s="2">
        <f t="shared" si="35"/>
        <v>0.15009218304812894</v>
      </c>
      <c r="P453">
        <f t="shared" si="36"/>
        <v>0</v>
      </c>
      <c r="Q453" s="1">
        <v>99</v>
      </c>
      <c r="R453" s="1">
        <v>4306.4365400000006</v>
      </c>
      <c r="S453" s="1">
        <v>187487.02197999999</v>
      </c>
      <c r="T453" s="1">
        <v>4239.9341900000009</v>
      </c>
      <c r="U453" s="1">
        <v>183247.08778999999</v>
      </c>
      <c r="V453" s="1">
        <v>66588.154049999997</v>
      </c>
      <c r="W453" s="1">
        <v>120898.86792999999</v>
      </c>
      <c r="X453" s="1">
        <v>2091476.88133</v>
      </c>
      <c r="Y453" s="1">
        <v>126079.64902</v>
      </c>
      <c r="Z453" s="1">
        <v>119845.9063</v>
      </c>
      <c r="AA453" s="1">
        <v>96669.185589999994</v>
      </c>
      <c r="AB453" s="1">
        <v>114.49053000000001</v>
      </c>
      <c r="AC453" s="1">
        <v>1371176</v>
      </c>
      <c r="AD453" s="2">
        <f t="shared" si="37"/>
        <v>0.65560179614706027</v>
      </c>
      <c r="AE453">
        <f t="shared" si="38"/>
        <v>1</v>
      </c>
      <c r="AF453" s="1">
        <v>80</v>
      </c>
      <c r="AG453" s="1">
        <v>8963</v>
      </c>
      <c r="AH453" s="1">
        <v>642791.00207000005</v>
      </c>
      <c r="AI453" s="1">
        <v>10641.609350000001</v>
      </c>
      <c r="AJ453" s="1">
        <v>632149.39272</v>
      </c>
      <c r="AK453" s="1">
        <v>370482.48602999997</v>
      </c>
      <c r="AL453" s="1">
        <v>272308.51604000002</v>
      </c>
    </row>
    <row r="454" spans="1:38" x14ac:dyDescent="0.2">
      <c r="A454">
        <v>499</v>
      </c>
      <c r="B454" t="s">
        <v>430</v>
      </c>
      <c r="C454" t="s">
        <v>887</v>
      </c>
      <c r="D454" t="s">
        <v>1100</v>
      </c>
      <c r="E454" t="s">
        <v>1235</v>
      </c>
      <c r="F454" t="s">
        <v>1306</v>
      </c>
      <c r="G454" s="7">
        <v>400</v>
      </c>
      <c r="H454" t="str">
        <f t="shared" si="39"/>
        <v>K</v>
      </c>
      <c r="I454" s="1">
        <v>1052229</v>
      </c>
      <c r="J454" s="1">
        <v>32189</v>
      </c>
      <c r="K454" s="1">
        <v>31895</v>
      </c>
      <c r="L454" s="1">
        <v>51835</v>
      </c>
      <c r="M454" s="1">
        <v>55717</v>
      </c>
      <c r="N454" s="1">
        <v>723280</v>
      </c>
      <c r="O454" s="2">
        <f t="shared" si="35"/>
        <v>0.68737888805573688</v>
      </c>
      <c r="P454">
        <f t="shared" si="36"/>
        <v>1</v>
      </c>
      <c r="Q454" s="1">
        <v>3381</v>
      </c>
      <c r="R454" s="1">
        <v>277626</v>
      </c>
      <c r="S454" s="1">
        <v>954664</v>
      </c>
      <c r="T454" s="1">
        <v>489719</v>
      </c>
      <c r="U454" s="1">
        <v>464945</v>
      </c>
      <c r="V454" s="1">
        <v>471008</v>
      </c>
      <c r="W454" s="1">
        <v>483656</v>
      </c>
      <c r="X454" s="1">
        <v>1446378</v>
      </c>
      <c r="Y454" s="1">
        <v>65396</v>
      </c>
      <c r="Z454" s="1">
        <v>57437</v>
      </c>
      <c r="AA454" s="1">
        <v>54108</v>
      </c>
      <c r="AB454" s="1">
        <v>75104</v>
      </c>
      <c r="AC454" s="1">
        <v>1021755</v>
      </c>
      <c r="AD454" s="2">
        <f t="shared" si="37"/>
        <v>0.7064232171672965</v>
      </c>
      <c r="AE454">
        <f t="shared" si="38"/>
        <v>1</v>
      </c>
      <c r="AF454" s="1">
        <v>3317</v>
      </c>
      <c r="AG454" s="1">
        <v>448888</v>
      </c>
      <c r="AH454" s="1">
        <v>1204752</v>
      </c>
      <c r="AI454" s="1">
        <v>660708</v>
      </c>
      <c r="AJ454" s="1">
        <v>544044</v>
      </c>
      <c r="AK454" s="1">
        <v>586547</v>
      </c>
      <c r="AL454" s="1">
        <v>618205</v>
      </c>
    </row>
    <row r="455" spans="1:38" x14ac:dyDescent="0.2">
      <c r="A455">
        <v>500</v>
      </c>
      <c r="B455" t="s">
        <v>405</v>
      </c>
      <c r="C455" t="s">
        <v>862</v>
      </c>
      <c r="D455" t="s">
        <v>969</v>
      </c>
      <c r="E455" t="s">
        <v>1126</v>
      </c>
      <c r="F455" t="s">
        <v>1311</v>
      </c>
      <c r="G455" s="7">
        <v>450</v>
      </c>
      <c r="H455" t="str">
        <f>IF(G455&lt;500,"K","Z")</f>
        <v>K</v>
      </c>
      <c r="I455" s="1">
        <v>1051499</v>
      </c>
      <c r="J455" s="1">
        <v>3376</v>
      </c>
      <c r="K455" s="1">
        <v>2781</v>
      </c>
      <c r="L455" s="1">
        <v>1496</v>
      </c>
      <c r="M455" s="1">
        <v>7795</v>
      </c>
      <c r="N455" s="1">
        <v>6740</v>
      </c>
      <c r="O455" s="2">
        <f t="shared" si="35"/>
        <v>6.4098967283849053E-3</v>
      </c>
      <c r="P455">
        <f t="shared" si="36"/>
        <v>0</v>
      </c>
      <c r="Q455" s="1">
        <v>486</v>
      </c>
      <c r="R455" s="1">
        <v>50160</v>
      </c>
      <c r="S455" s="1">
        <v>304470</v>
      </c>
      <c r="T455" s="1">
        <v>97635</v>
      </c>
      <c r="U455" s="1">
        <v>206835</v>
      </c>
      <c r="V455" s="1">
        <v>72767</v>
      </c>
      <c r="W455" s="1">
        <v>231703</v>
      </c>
      <c r="X455" s="1">
        <v>1583906.2500199999</v>
      </c>
      <c r="Y455" s="1">
        <v>2108.3058299999998</v>
      </c>
      <c r="Z455" s="1">
        <v>1498.92868</v>
      </c>
      <c r="AA455" s="1">
        <v>1236.4536599999999</v>
      </c>
      <c r="AB455" s="1">
        <v>5741</v>
      </c>
      <c r="AC455" s="1">
        <v>4352</v>
      </c>
      <c r="AD455" s="2">
        <f t="shared" si="37"/>
        <v>2.7476373680229162E-3</v>
      </c>
      <c r="AE455">
        <f t="shared" si="38"/>
        <v>0</v>
      </c>
      <c r="AF455" s="1">
        <v>676</v>
      </c>
      <c r="AG455" s="1">
        <v>82836</v>
      </c>
      <c r="AH455" s="1">
        <v>402078.19796000002</v>
      </c>
      <c r="AI455" s="1">
        <v>108360.51167000001</v>
      </c>
      <c r="AJ455" s="1">
        <v>293717.68628999998</v>
      </c>
      <c r="AK455" s="1">
        <v>61763.059829999998</v>
      </c>
      <c r="AL455" s="1">
        <v>340315.13812999998</v>
      </c>
    </row>
  </sheetData>
  <autoFilter ref="A1:AL455" xr:uid="{00000000-0001-0000-0000-000000000000}">
    <sortState xmlns:xlrd2="http://schemas.microsoft.com/office/spreadsheetml/2017/richdata2" ref="A2:AL455">
      <sortCondition ref="A1:A455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500</vt:lpstr>
      <vt:lpstr>'500'!_FilterDatabase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Pawel Pietruszewski</cp:lastModifiedBy>
  <dcterms:created xsi:type="dcterms:W3CDTF">2026-06-29T14:08:11Z</dcterms:created>
  <dcterms:modified xsi:type="dcterms:W3CDTF">2026-09-30T12:39:57Z</dcterms:modified>
</cp:coreProperties>
</file>