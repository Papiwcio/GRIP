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"/>
    </mc:Choice>
  </mc:AlternateContent>
  <xr:revisionPtr revIDLastSave="144" documentId="8_{7A68A5CB-D1AA-F94C-98AE-5031E70AF2B5}" xr6:coauthVersionLast="47" xr6:coauthVersionMax="47" xr10:uidLastSave="{AE9DB497-C44A-7744-9755-A427AA7A48DC}"/>
  <bookViews>
    <workbookView xWindow="0" yWindow="700" windowWidth="34200" windowHeight="19980" xr2:uid="{00000000-000D-0000-FFFF-FFFF00000000}"/>
  </bookViews>
  <sheets>
    <sheet name="Calculalated Marginal Effec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4" l="1"/>
  <c r="L44" i="4"/>
  <c r="J44" i="4"/>
  <c r="H44" i="4"/>
  <c r="G44" i="4"/>
  <c r="E44" i="4"/>
  <c r="F44" i="4" s="1"/>
  <c r="I44" i="4" s="1"/>
  <c r="M43" i="4"/>
  <c r="S43" i="4" s="1"/>
  <c r="L43" i="4"/>
  <c r="J43" i="4"/>
  <c r="H43" i="4"/>
  <c r="G43" i="4"/>
  <c r="F43" i="4"/>
  <c r="I43" i="4" s="1"/>
  <c r="E43" i="4"/>
  <c r="M42" i="4"/>
  <c r="L42" i="4"/>
  <c r="R42" i="4" s="1"/>
  <c r="J42" i="4"/>
  <c r="P42" i="4" s="1"/>
  <c r="H42" i="4"/>
  <c r="G42" i="4"/>
  <c r="E42" i="4"/>
  <c r="F42" i="4" s="1"/>
  <c r="M41" i="4"/>
  <c r="L41" i="4"/>
  <c r="J41" i="4"/>
  <c r="K41" i="4" s="1"/>
  <c r="N41" i="4" s="1"/>
  <c r="H41" i="4"/>
  <c r="G41" i="4"/>
  <c r="E41" i="4"/>
  <c r="F41" i="4" s="1"/>
  <c r="M40" i="4"/>
  <c r="L40" i="4"/>
  <c r="J40" i="4"/>
  <c r="P40" i="4" s="1"/>
  <c r="H40" i="4"/>
  <c r="S40" i="4" s="1"/>
  <c r="G40" i="4"/>
  <c r="F40" i="4"/>
  <c r="E40" i="4"/>
  <c r="M39" i="4"/>
  <c r="S39" i="4" s="1"/>
  <c r="L39" i="4"/>
  <c r="J39" i="4"/>
  <c r="K39" i="4" s="1"/>
  <c r="H39" i="4"/>
  <c r="G39" i="4"/>
  <c r="R39" i="4" s="1"/>
  <c r="E39" i="4"/>
  <c r="M38" i="4"/>
  <c r="S38" i="4" s="1"/>
  <c r="L38" i="4"/>
  <c r="J38" i="4"/>
  <c r="K38" i="4" s="1"/>
  <c r="H38" i="4"/>
  <c r="G38" i="4"/>
  <c r="R38" i="4" s="1"/>
  <c r="E38" i="4"/>
  <c r="F38" i="4" s="1"/>
  <c r="I38" i="4" s="1"/>
  <c r="R37" i="4"/>
  <c r="M37" i="4"/>
  <c r="L37" i="4"/>
  <c r="J37" i="4"/>
  <c r="H37" i="4"/>
  <c r="G37" i="4"/>
  <c r="E37" i="4"/>
  <c r="M36" i="4"/>
  <c r="L36" i="4"/>
  <c r="R36" i="4" s="1"/>
  <c r="J36" i="4"/>
  <c r="P36" i="4" s="1"/>
  <c r="H36" i="4"/>
  <c r="S36" i="4" s="1"/>
  <c r="G36" i="4"/>
  <c r="E36" i="4"/>
  <c r="F36" i="4" s="1"/>
  <c r="I36" i="4" s="1"/>
  <c r="M35" i="4"/>
  <c r="S35" i="4" s="1"/>
  <c r="L35" i="4"/>
  <c r="R35" i="4" s="1"/>
  <c r="J35" i="4"/>
  <c r="P35" i="4" s="1"/>
  <c r="H35" i="4"/>
  <c r="G35" i="4"/>
  <c r="E35" i="4"/>
  <c r="F35" i="4" s="1"/>
  <c r="I35" i="4" s="1"/>
  <c r="M34" i="4"/>
  <c r="S34" i="4" s="1"/>
  <c r="L34" i="4"/>
  <c r="R34" i="4" s="1"/>
  <c r="J34" i="4"/>
  <c r="P34" i="4" s="1"/>
  <c r="H34" i="4"/>
  <c r="G34" i="4"/>
  <c r="E34" i="4"/>
  <c r="F34" i="4" s="1"/>
  <c r="P33" i="4"/>
  <c r="M33" i="4"/>
  <c r="S33" i="4" s="1"/>
  <c r="L33" i="4"/>
  <c r="R33" i="4" s="1"/>
  <c r="K33" i="4"/>
  <c r="N33" i="4" s="1"/>
  <c r="J33" i="4"/>
  <c r="H33" i="4"/>
  <c r="G33" i="4"/>
  <c r="E33" i="4"/>
  <c r="F33" i="4" s="1"/>
  <c r="M32" i="4"/>
  <c r="L32" i="4"/>
  <c r="R32" i="4" s="1"/>
  <c r="J32" i="4"/>
  <c r="P32" i="4" s="1"/>
  <c r="H32" i="4"/>
  <c r="G32" i="4"/>
  <c r="F32" i="4"/>
  <c r="E32" i="4"/>
  <c r="M31" i="4"/>
  <c r="S31" i="4" s="1"/>
  <c r="L31" i="4"/>
  <c r="J31" i="4"/>
  <c r="K31" i="4" s="1"/>
  <c r="H31" i="4"/>
  <c r="G31" i="4"/>
  <c r="E31" i="4"/>
  <c r="M30" i="4"/>
  <c r="S30" i="4" s="1"/>
  <c r="L30" i="4"/>
  <c r="R30" i="4" s="1"/>
  <c r="J30" i="4"/>
  <c r="K30" i="4" s="1"/>
  <c r="H30" i="4"/>
  <c r="G30" i="4"/>
  <c r="E30" i="4"/>
  <c r="F30" i="4" s="1"/>
  <c r="M29" i="4"/>
  <c r="S29" i="4" s="1"/>
  <c r="L29" i="4"/>
  <c r="R29" i="4" s="1"/>
  <c r="J29" i="4"/>
  <c r="H29" i="4"/>
  <c r="G29" i="4"/>
  <c r="E29" i="4"/>
  <c r="P28" i="4"/>
  <c r="M28" i="4"/>
  <c r="L28" i="4"/>
  <c r="R28" i="4" s="1"/>
  <c r="J28" i="4"/>
  <c r="H28" i="4"/>
  <c r="G28" i="4"/>
  <c r="E28" i="4"/>
  <c r="F28" i="4" s="1"/>
  <c r="I28" i="4" s="1"/>
  <c r="M27" i="4"/>
  <c r="S27" i="4" s="1"/>
  <c r="L27" i="4"/>
  <c r="J27" i="4"/>
  <c r="P27" i="4" s="1"/>
  <c r="H27" i="4"/>
  <c r="G27" i="4"/>
  <c r="R27" i="4" s="1"/>
  <c r="E27" i="4"/>
  <c r="F27" i="4" s="1"/>
  <c r="I27" i="4" s="1"/>
  <c r="M26" i="4"/>
  <c r="S26" i="4" s="1"/>
  <c r="L26" i="4"/>
  <c r="R26" i="4" s="1"/>
  <c r="J26" i="4"/>
  <c r="P26" i="4" s="1"/>
  <c r="H26" i="4"/>
  <c r="G26" i="4"/>
  <c r="E26" i="4"/>
  <c r="F26" i="4" s="1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T22" i="4"/>
  <c r="S22" i="4"/>
  <c r="R22" i="4"/>
  <c r="Q22" i="4"/>
  <c r="P22" i="4"/>
  <c r="T21" i="4"/>
  <c r="S21" i="4"/>
  <c r="R21" i="4"/>
  <c r="Q21" i="4"/>
  <c r="P21" i="4"/>
  <c r="T20" i="4"/>
  <c r="S20" i="4"/>
  <c r="R20" i="4"/>
  <c r="Q20" i="4"/>
  <c r="P20" i="4"/>
  <c r="T19" i="4"/>
  <c r="S19" i="4"/>
  <c r="R19" i="4"/>
  <c r="Q19" i="4"/>
  <c r="P19" i="4"/>
  <c r="T18" i="4"/>
  <c r="S18" i="4"/>
  <c r="R18" i="4"/>
  <c r="Q18" i="4"/>
  <c r="P18" i="4"/>
  <c r="T17" i="4"/>
  <c r="S17" i="4"/>
  <c r="R17" i="4"/>
  <c r="Q17" i="4"/>
  <c r="P17" i="4"/>
  <c r="T16" i="4"/>
  <c r="S16" i="4"/>
  <c r="R16" i="4"/>
  <c r="Q16" i="4"/>
  <c r="P16" i="4"/>
  <c r="T15" i="4"/>
  <c r="S15" i="4"/>
  <c r="R15" i="4"/>
  <c r="Q15" i="4"/>
  <c r="P15" i="4"/>
  <c r="T14" i="4"/>
  <c r="S14" i="4"/>
  <c r="R14" i="4"/>
  <c r="Q14" i="4"/>
  <c r="P14" i="4"/>
  <c r="T13" i="4"/>
  <c r="S13" i="4"/>
  <c r="R13" i="4"/>
  <c r="Q13" i="4"/>
  <c r="P13" i="4"/>
  <c r="T12" i="4"/>
  <c r="S12" i="4"/>
  <c r="R12" i="4"/>
  <c r="Q12" i="4"/>
  <c r="P12" i="4"/>
  <c r="T11" i="4"/>
  <c r="S11" i="4"/>
  <c r="R11" i="4"/>
  <c r="Q11" i="4"/>
  <c r="P11" i="4"/>
  <c r="T10" i="4"/>
  <c r="S10" i="4"/>
  <c r="R10" i="4"/>
  <c r="Q10" i="4"/>
  <c r="P10" i="4"/>
  <c r="T9" i="4"/>
  <c r="S9" i="4"/>
  <c r="R9" i="4"/>
  <c r="Q9" i="4"/>
  <c r="P9" i="4"/>
  <c r="T8" i="4"/>
  <c r="S8" i="4"/>
  <c r="R8" i="4"/>
  <c r="Q8" i="4"/>
  <c r="P8" i="4"/>
  <c r="T7" i="4"/>
  <c r="S7" i="4"/>
  <c r="R7" i="4"/>
  <c r="Q7" i="4"/>
  <c r="P7" i="4"/>
  <c r="T6" i="4"/>
  <c r="S6" i="4"/>
  <c r="R6" i="4"/>
  <c r="Q6" i="4"/>
  <c r="P6" i="4"/>
  <c r="T5" i="4"/>
  <c r="S5" i="4"/>
  <c r="R5" i="4"/>
  <c r="Q5" i="4"/>
  <c r="P5" i="4"/>
  <c r="T4" i="4"/>
  <c r="S4" i="4"/>
  <c r="R4" i="4"/>
  <c r="Q4" i="4"/>
  <c r="P4" i="4"/>
  <c r="T3" i="4"/>
  <c r="S3" i="4"/>
  <c r="R3" i="4"/>
  <c r="Q3" i="4"/>
  <c r="P3" i="4"/>
  <c r="K17" i="4"/>
  <c r="K10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H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3" i="4"/>
  <c r="J22" i="4"/>
  <c r="K22" i="4" s="1"/>
  <c r="J21" i="4"/>
  <c r="K21" i="4" s="1"/>
  <c r="J20" i="4"/>
  <c r="K20" i="4" s="1"/>
  <c r="J19" i="4"/>
  <c r="K19" i="4" s="1"/>
  <c r="J18" i="4"/>
  <c r="K18" i="4" s="1"/>
  <c r="J17" i="4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E22" i="4"/>
  <c r="F22" i="4" s="1"/>
  <c r="E21" i="4"/>
  <c r="E20" i="4"/>
  <c r="E19" i="4"/>
  <c r="F19" i="4" s="1"/>
  <c r="E18" i="4"/>
  <c r="F18" i="4" s="1"/>
  <c r="E17" i="4"/>
  <c r="F17" i="4" s="1"/>
  <c r="E16" i="4"/>
  <c r="E15" i="4"/>
  <c r="F15" i="4" s="1"/>
  <c r="E14" i="4"/>
  <c r="F14" i="4" s="1"/>
  <c r="E13" i="4"/>
  <c r="E12" i="4"/>
  <c r="F12" i="4" s="1"/>
  <c r="E11" i="4"/>
  <c r="F11" i="4" s="1"/>
  <c r="E10" i="4"/>
  <c r="F10" i="4" s="1"/>
  <c r="E9" i="4"/>
  <c r="E8" i="4"/>
  <c r="F8" i="4" s="1"/>
  <c r="E7" i="4"/>
  <c r="F7" i="4" s="1"/>
  <c r="I7" i="4" s="1"/>
  <c r="E6" i="4"/>
  <c r="F6" i="4" s="1"/>
  <c r="E5" i="4"/>
  <c r="E4" i="4"/>
  <c r="E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K32" i="4" l="1"/>
  <c r="Q32" i="4" s="1"/>
  <c r="P43" i="4"/>
  <c r="Q30" i="4"/>
  <c r="R40" i="4"/>
  <c r="S41" i="4"/>
  <c r="K27" i="4"/>
  <c r="S28" i="4"/>
  <c r="R31" i="4"/>
  <c r="P37" i="4"/>
  <c r="R43" i="4"/>
  <c r="K29" i="4"/>
  <c r="N29" i="4" s="1"/>
  <c r="I30" i="4"/>
  <c r="S32" i="4"/>
  <c r="K35" i="4"/>
  <c r="I40" i="4"/>
  <c r="R44" i="4"/>
  <c r="K43" i="4"/>
  <c r="Q43" i="4" s="1"/>
  <c r="K37" i="4"/>
  <c r="N37" i="4" s="1"/>
  <c r="P44" i="4"/>
  <c r="P29" i="4"/>
  <c r="Q38" i="4"/>
  <c r="S42" i="4"/>
  <c r="I32" i="4"/>
  <c r="S37" i="4"/>
  <c r="K40" i="4"/>
  <c r="Q40" i="4" s="1"/>
  <c r="R41" i="4"/>
  <c r="S44" i="4"/>
  <c r="N32" i="4"/>
  <c r="T32" i="4" s="1"/>
  <c r="P41" i="4"/>
  <c r="I26" i="4"/>
  <c r="K28" i="4"/>
  <c r="Q28" i="4" s="1"/>
  <c r="F31" i="4"/>
  <c r="I31" i="4" s="1"/>
  <c r="N31" i="4"/>
  <c r="Q33" i="4"/>
  <c r="I34" i="4"/>
  <c r="K36" i="4"/>
  <c r="Q36" i="4" s="1"/>
  <c r="F39" i="4"/>
  <c r="Q39" i="4" s="1"/>
  <c r="N39" i="4"/>
  <c r="Q41" i="4"/>
  <c r="I42" i="4"/>
  <c r="K44" i="4"/>
  <c r="Q44" i="4" s="1"/>
  <c r="P31" i="4"/>
  <c r="P39" i="4"/>
  <c r="I41" i="4"/>
  <c r="T41" i="4" s="1"/>
  <c r="K26" i="4"/>
  <c r="F29" i="4"/>
  <c r="P30" i="4"/>
  <c r="K34" i="4"/>
  <c r="F37" i="4"/>
  <c r="P38" i="4"/>
  <c r="K42" i="4"/>
  <c r="N30" i="4"/>
  <c r="I33" i="4"/>
  <c r="T33" i="4" s="1"/>
  <c r="N38" i="4"/>
  <c r="T38" i="4" s="1"/>
  <c r="N8" i="4"/>
  <c r="I10" i="4"/>
  <c r="N9" i="4"/>
  <c r="I11" i="4"/>
  <c r="N18" i="4"/>
  <c r="N3" i="4"/>
  <c r="I14" i="4"/>
  <c r="N4" i="4"/>
  <c r="N20" i="4"/>
  <c r="I22" i="4"/>
  <c r="N16" i="4"/>
  <c r="I19" i="4"/>
  <c r="N17" i="4"/>
  <c r="I15" i="4"/>
  <c r="N10" i="4"/>
  <c r="I18" i="4"/>
  <c r="N5" i="4"/>
  <c r="N13" i="4"/>
  <c r="N21" i="4"/>
  <c r="N15" i="4"/>
  <c r="I6" i="4"/>
  <c r="N11" i="4"/>
  <c r="N12" i="4"/>
  <c r="I12" i="4"/>
  <c r="F5" i="4"/>
  <c r="I5" i="4" s="1"/>
  <c r="F13" i="4"/>
  <c r="I13" i="4" s="1"/>
  <c r="F9" i="4"/>
  <c r="I9" i="4" s="1"/>
  <c r="N7" i="4"/>
  <c r="I17" i="4"/>
  <c r="F16" i="4"/>
  <c r="I16" i="4" s="1"/>
  <c r="N6" i="4"/>
  <c r="F21" i="4"/>
  <c r="I21" i="4" s="1"/>
  <c r="N14" i="4"/>
  <c r="I8" i="4"/>
  <c r="N22" i="4"/>
  <c r="F20" i="4"/>
  <c r="I20" i="4" s="1"/>
  <c r="F4" i="4"/>
  <c r="I4" i="4" s="1"/>
  <c r="F3" i="4"/>
  <c r="I3" i="4" s="1"/>
  <c r="N19" i="4"/>
  <c r="Q27" i="4" l="1"/>
  <c r="N27" i="4"/>
  <c r="T27" i="4" s="1"/>
  <c r="N28" i="4"/>
  <c r="T28" i="4" s="1"/>
  <c r="N40" i="4"/>
  <c r="T40" i="4" s="1"/>
  <c r="Q31" i="4"/>
  <c r="T30" i="4"/>
  <c r="Q35" i="4"/>
  <c r="N35" i="4"/>
  <c r="T35" i="4" s="1"/>
  <c r="N43" i="4"/>
  <c r="T43" i="4" s="1"/>
  <c r="N26" i="4"/>
  <c r="T26" i="4" s="1"/>
  <c r="Q26" i="4"/>
  <c r="N44" i="4"/>
  <c r="T44" i="4" s="1"/>
  <c r="T31" i="4"/>
  <c r="N42" i="4"/>
  <c r="T42" i="4" s="1"/>
  <c r="Q42" i="4"/>
  <c r="I39" i="4"/>
  <c r="I37" i="4"/>
  <c r="T37" i="4" s="1"/>
  <c r="Q37" i="4"/>
  <c r="N34" i="4"/>
  <c r="T34" i="4" s="1"/>
  <c r="Q34" i="4"/>
  <c r="N36" i="4"/>
  <c r="T36" i="4" s="1"/>
  <c r="I29" i="4"/>
  <c r="T29" i="4" s="1"/>
  <c r="Q29" i="4"/>
  <c r="T39" i="4"/>
</calcChain>
</file>

<file path=xl/sharedStrings.xml><?xml version="1.0" encoding="utf-8"?>
<sst xmlns="http://schemas.openxmlformats.org/spreadsheetml/2006/main" count="85" uniqueCount="36">
  <si>
    <t>coef</t>
  </si>
  <si>
    <t>Starting_INT</t>
  </si>
  <si>
    <t>Starting_BS_Strength</t>
  </si>
  <si>
    <t>Starting_Size_ln</t>
  </si>
  <si>
    <t>Starting_Profit</t>
  </si>
  <si>
    <t>Starting_INT_Mult_Starting_Size_ln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</si>
  <si>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</si>
  <si>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</si>
  <si>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</si>
  <si>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</si>
  <si>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</si>
  <si>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</si>
  <si>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</si>
  <si>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</si>
  <si>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</si>
  <si>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</si>
  <si>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</si>
  <si>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</si>
  <si>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</si>
  <si>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</si>
  <si>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</si>
  <si>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0.Stressed/1.Declining</t>
  </si>
  <si>
    <t>1.Declining/2.Stable</t>
  </si>
  <si>
    <t>2.Stable/3.High Growth</t>
  </si>
  <si>
    <t>0. Stressed</t>
  </si>
  <si>
    <t>1. Declining</t>
  </si>
  <si>
    <t>2. Stable</t>
  </si>
  <si>
    <t>3. High Growth</t>
  </si>
  <si>
    <t>TRESHOLDS</t>
  </si>
  <si>
    <t>Ods ratios</t>
  </si>
  <si>
    <t>Baseline firm probability</t>
  </si>
  <si>
    <t>Adjusted (or scenario) probabilities</t>
  </si>
  <si>
    <t>TOTAL</t>
  </si>
  <si>
    <t>Marginal effects</t>
  </si>
  <si>
    <t>With Interaction</t>
  </si>
  <si>
    <t>Without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</si>
</sst>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.0000_)_ ;_ * \(#,##0.0000\)_ ;_ * &quot;-&quot;??_)_ ;_ @_ "/>
    <numFmt numFmtId="165" formatCode="_ * #,##0.0000_)\ _P_L_N_ ;_ * \(#,##0.0000\)\ _P_L_N_ ;_ * &quot;-&quot;????_)\ _P_L_N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0" fillId="0" borderId="0" xfId="1" applyNumberFormat="1" applyFont="1"/>
    <xf numFmtId="165" fontId="0" fillId="0" borderId="0" xfId="0" applyNumberFormat="1"/>
    <xf numFmtId="164" fontId="0" fillId="0" borderId="0" xfId="1" applyNumberFormat="1" applyFont="1" applyBorder="1"/>
    <xf numFmtId="0" fontId="1" fillId="0" borderId="0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90BE-49DD-EC45-B5AE-7BA4F672FC6D}">
  <dimension ref="A1:X45"/>
  <sheetViews>
    <sheetView tabSelected="1" workbookViewId="0"/>
  </sheetViews>
  <sheetFormatPr baseColWidth="10" defaultRowHeight="15" x14ac:dyDescent="0.2"/>
  <cols>
    <col min="1" max="1" width="28.6640625" bestFit="1" customWidth="1"/>
    <col min="2" max="2" width="12.6640625" bestFit="1" customWidth="1"/>
    <col min="3" max="5" width="12.6640625" customWidth="1"/>
    <col min="6" max="6" width="10.1640625" bestFit="1" customWidth="1"/>
    <col min="7" max="7" width="7.83203125" bestFit="1" customWidth="1"/>
    <col min="8" max="8" width="17.83203125" bestFit="1" customWidth="1"/>
    <col min="9" max="9" width="7.83203125" bestFit="1" customWidth="1"/>
    <col min="10" max="10" width="11" customWidth="1"/>
    <col min="11" max="12" width="11.1640625" bestFit="1" customWidth="1"/>
    <col min="13" max="13" width="12.6640625" bestFit="1" customWidth="1"/>
    <col min="14" max="14" width="7.83203125" bestFit="1" customWidth="1"/>
    <col min="16" max="16" width="13.5" bestFit="1" customWidth="1"/>
    <col min="17" max="18" width="11.6640625" bestFit="1" customWidth="1"/>
    <col min="19" max="19" width="12.6640625" bestFit="1" customWidth="1"/>
    <col min="20" max="20" width="10.1640625" bestFit="1" customWidth="1"/>
    <col min="21" max="21" width="7.83203125" customWidth="1"/>
    <col min="22" max="22" width="19" bestFit="1" customWidth="1"/>
    <col min="23" max="23" width="17.33203125" bestFit="1" customWidth="1"/>
    <col min="24" max="24" width="19.6640625" bestFit="1" customWidth="1"/>
  </cols>
  <sheetData>
    <row r="1" spans="1:24" x14ac:dyDescent="0.2">
      <c r="A1" s="8" t="s">
        <v>34</v>
      </c>
      <c r="E1" s="2" t="s">
        <v>30</v>
      </c>
      <c r="J1" s="2" t="s">
        <v>31</v>
      </c>
      <c r="P1" s="2" t="s">
        <v>33</v>
      </c>
      <c r="V1" s="2" t="s">
        <v>28</v>
      </c>
    </row>
    <row r="2" spans="1:24" x14ac:dyDescent="0.2">
      <c r="B2" s="1" t="s">
        <v>0</v>
      </c>
      <c r="C2" s="4" t="s">
        <v>29</v>
      </c>
      <c r="D2" s="4"/>
      <c r="E2" t="s">
        <v>24</v>
      </c>
      <c r="F2" t="s">
        <v>25</v>
      </c>
      <c r="G2" t="s">
        <v>26</v>
      </c>
      <c r="H2" t="s">
        <v>27</v>
      </c>
      <c r="I2" t="s">
        <v>32</v>
      </c>
      <c r="J2" t="s">
        <v>24</v>
      </c>
      <c r="K2" t="s">
        <v>25</v>
      </c>
      <c r="L2" t="s">
        <v>26</v>
      </c>
      <c r="M2" t="s">
        <v>27</v>
      </c>
      <c r="N2" t="s">
        <v>32</v>
      </c>
      <c r="P2" t="s">
        <v>24</v>
      </c>
      <c r="Q2" t="s">
        <v>25</v>
      </c>
      <c r="R2" t="s">
        <v>26</v>
      </c>
      <c r="S2" t="s">
        <v>27</v>
      </c>
      <c r="T2" t="s">
        <v>32</v>
      </c>
      <c r="V2" s="3" t="s">
        <v>21</v>
      </c>
      <c r="W2" s="3" t="s">
        <v>22</v>
      </c>
      <c r="X2" s="3" t="s">
        <v>23</v>
      </c>
    </row>
    <row r="3" spans="1:24" x14ac:dyDescent="0.2">
      <c r="A3" s="1" t="s">
        <v>1</v>
      </c>
      <c r="B3" s="5">
        <v>-6.9572625912637465E-2</v>
      </c>
      <c r="C3" s="5">
        <f>EXP(B3)</f>
        <v>0.93279238602614245</v>
      </c>
      <c r="D3" s="5"/>
      <c r="E3" s="5">
        <f>1/(1+EXP(-(V3-0)))</f>
        <v>0.1455542401049903</v>
      </c>
      <c r="F3" s="5">
        <f>1/(1+EXP(-(W3-0)))-E3</f>
        <v>0.51285529572918098</v>
      </c>
      <c r="G3" s="5">
        <f>1/(1+EXP(-(X3-0)))-1/(1+EXP(-(W3-0)))</f>
        <v>3.1300863131991763E-2</v>
      </c>
      <c r="H3" s="5">
        <f>1-1/(1+EXP(-(X3-0)))</f>
        <v>0.31028960103383696</v>
      </c>
      <c r="I3" s="5">
        <f>SUM(E3:H3)</f>
        <v>1</v>
      </c>
      <c r="J3" s="6">
        <f t="shared" ref="J3:J22" si="0">1/(1+EXP(-(V3-B3)))</f>
        <v>0.15442196151722537</v>
      </c>
      <c r="K3" s="6">
        <f t="shared" ref="K3:K7" si="1">1/(1+EXP(-(W3-B3)))-J3</f>
        <v>0.51945816385311927</v>
      </c>
      <c r="L3" s="6">
        <f t="shared" ref="L3:L22" si="2">1/(1+EXP(-(X3-B3)))-1/(1+EXP(-(W3-B3)))</f>
        <v>3.051970345912336E-2</v>
      </c>
      <c r="M3" s="6">
        <f t="shared" ref="M3:M22" si="3">1-1/(1+EXP(-(X3-B3)))</f>
        <v>0.29560017117053194</v>
      </c>
      <c r="N3" s="5">
        <f>SUM(J3:M3)</f>
        <v>0.99999999999999989</v>
      </c>
      <c r="P3" s="6">
        <f>J3-E3</f>
        <v>8.8677214122350745E-3</v>
      </c>
      <c r="Q3" s="6">
        <f t="shared" ref="Q3:Q22" si="4">K3-F3</f>
        <v>6.602868123938288E-3</v>
      </c>
      <c r="R3" s="6">
        <f t="shared" ref="R3:R22" si="5">L3-G3</f>
        <v>-7.8115967286840338E-4</v>
      </c>
      <c r="S3" s="6">
        <f t="shared" ref="S3:S22" si="6">M3-H3</f>
        <v>-1.4689429863305015E-2</v>
      </c>
      <c r="T3" s="6">
        <f t="shared" ref="T3:T22" si="7">N3-I3</f>
        <v>0</v>
      </c>
      <c r="U3" s="5"/>
      <c r="V3" s="7">
        <v>-1.7699042233297999</v>
      </c>
      <c r="W3" s="7">
        <v>0.65621458628335028</v>
      </c>
      <c r="X3" s="7">
        <v>0.79876573957227481</v>
      </c>
    </row>
    <row r="4" spans="1:24" x14ac:dyDescent="0.2">
      <c r="A4" s="1" t="s">
        <v>2</v>
      </c>
      <c r="B4" s="5">
        <v>5.9950470546098963E-2</v>
      </c>
      <c r="C4" s="5">
        <f t="shared" ref="C4:C22" si="8">EXP(B4)</f>
        <v>1.0617839556634867</v>
      </c>
      <c r="D4" s="5"/>
      <c r="E4" s="5">
        <f t="shared" ref="E4:E22" si="9">1/(1+EXP(-(V4-0)))</f>
        <v>0.1455542401049903</v>
      </c>
      <c r="F4" s="5">
        <f t="shared" ref="F4:F22" si="10">1/(1+EXP(-(W4-0)))-E4</f>
        <v>0.51285529572918098</v>
      </c>
      <c r="G4" s="5">
        <f t="shared" ref="G4:G22" si="11">1/(1+EXP(-(X4-0)))-1/(1+EXP(-(W4-0)))</f>
        <v>3.1300863131991763E-2</v>
      </c>
      <c r="H4" s="5">
        <f t="shared" ref="H4:H22" si="12">1-1/(1+EXP(-(X4-0)))</f>
        <v>0.31028960103383696</v>
      </c>
      <c r="I4" s="5">
        <f t="shared" ref="I4:I22" si="13">SUM(E4:H4)</f>
        <v>1</v>
      </c>
      <c r="J4" s="6">
        <f t="shared" si="0"/>
        <v>0.13825558417621317</v>
      </c>
      <c r="K4" s="6">
        <f t="shared" si="1"/>
        <v>0.50654554625245041</v>
      </c>
      <c r="L4" s="6">
        <f t="shared" si="2"/>
        <v>3.1935603459532613E-2</v>
      </c>
      <c r="M4" s="6">
        <f t="shared" si="3"/>
        <v>0.32326326611180378</v>
      </c>
      <c r="N4" s="5">
        <f t="shared" ref="N4:N22" si="14">SUM(J4:M4)</f>
        <v>1</v>
      </c>
      <c r="P4" s="6">
        <f t="shared" ref="P4:P22" si="15">J4-E4</f>
        <v>-7.2986559287771258E-3</v>
      </c>
      <c r="Q4" s="6">
        <f t="shared" si="4"/>
        <v>-6.3097494767305751E-3</v>
      </c>
      <c r="R4" s="6">
        <f t="shared" si="5"/>
        <v>6.347403275408503E-4</v>
      </c>
      <c r="S4" s="6">
        <f t="shared" si="6"/>
        <v>1.2973665077966823E-2</v>
      </c>
      <c r="T4" s="6">
        <f t="shared" si="7"/>
        <v>0</v>
      </c>
      <c r="U4" s="5"/>
      <c r="V4" s="7">
        <v>-1.7699042233297999</v>
      </c>
      <c r="W4" s="7">
        <v>0.65621458628335028</v>
      </c>
      <c r="X4" s="7">
        <v>0.79876573957227481</v>
      </c>
    </row>
    <row r="5" spans="1:24" x14ac:dyDescent="0.2">
      <c r="A5" s="1" t="s">
        <v>3</v>
      </c>
      <c r="B5" s="5">
        <v>7.9202225303340285E-2</v>
      </c>
      <c r="C5" s="5">
        <f t="shared" si="8"/>
        <v>1.0824231932975259</v>
      </c>
      <c r="D5" s="5"/>
      <c r="E5" s="5">
        <f t="shared" si="9"/>
        <v>0.1455542401049903</v>
      </c>
      <c r="F5" s="5">
        <f t="shared" si="10"/>
        <v>0.51285529572918098</v>
      </c>
      <c r="G5" s="5">
        <f t="shared" si="11"/>
        <v>3.1300863131991763E-2</v>
      </c>
      <c r="H5" s="5">
        <f t="shared" si="12"/>
        <v>0.31028960103383696</v>
      </c>
      <c r="I5" s="5">
        <f t="shared" si="13"/>
        <v>1</v>
      </c>
      <c r="J5" s="6">
        <f t="shared" si="0"/>
        <v>0.13597784431261895</v>
      </c>
      <c r="K5" s="6">
        <f t="shared" si="1"/>
        <v>0.50440181697850717</v>
      </c>
      <c r="L5" s="6">
        <f t="shared" si="2"/>
        <v>3.2131231402310556E-2</v>
      </c>
      <c r="M5" s="6">
        <f t="shared" si="3"/>
        <v>0.32748910730656333</v>
      </c>
      <c r="N5" s="5">
        <f t="shared" si="14"/>
        <v>1</v>
      </c>
      <c r="P5" s="6">
        <f t="shared" si="15"/>
        <v>-9.5763957923713505E-3</v>
      </c>
      <c r="Q5" s="6">
        <f t="shared" si="4"/>
        <v>-8.4534787506738152E-3</v>
      </c>
      <c r="R5" s="6">
        <f t="shared" si="5"/>
        <v>8.3036827031879312E-4</v>
      </c>
      <c r="S5" s="6">
        <f t="shared" si="6"/>
        <v>1.7199506272726373E-2</v>
      </c>
      <c r="T5" s="6">
        <f t="shared" si="7"/>
        <v>0</v>
      </c>
      <c r="U5" s="5"/>
      <c r="V5" s="7">
        <v>-1.7699042233297999</v>
      </c>
      <c r="W5" s="7">
        <v>0.65621458628335028</v>
      </c>
      <c r="X5" s="7">
        <v>0.79876573957227481</v>
      </c>
    </row>
    <row r="6" spans="1:24" x14ac:dyDescent="0.2">
      <c r="A6" s="1" t="s">
        <v>4</v>
      </c>
      <c r="B6" s="5">
        <v>0.1266829627976212</v>
      </c>
      <c r="C6" s="5">
        <f t="shared" si="8"/>
        <v>1.1350571054024572</v>
      </c>
      <c r="D6" s="5"/>
      <c r="E6" s="5">
        <f t="shared" si="9"/>
        <v>0.1455542401049903</v>
      </c>
      <c r="F6" s="5">
        <f t="shared" si="10"/>
        <v>0.51285529572918098</v>
      </c>
      <c r="G6" s="5">
        <f t="shared" si="11"/>
        <v>3.1300863131991763E-2</v>
      </c>
      <c r="H6" s="5">
        <f t="shared" si="12"/>
        <v>0.31028960103383696</v>
      </c>
      <c r="I6" s="5">
        <f t="shared" si="13"/>
        <v>1</v>
      </c>
      <c r="J6" s="6">
        <f t="shared" si="0"/>
        <v>0.13049522536975353</v>
      </c>
      <c r="K6" s="6">
        <f t="shared" si="1"/>
        <v>0.49887863858821624</v>
      </c>
      <c r="L6" s="6">
        <f t="shared" si="2"/>
        <v>3.2595506818316689E-2</v>
      </c>
      <c r="M6" s="6">
        <f t="shared" si="3"/>
        <v>0.33803062922371352</v>
      </c>
      <c r="N6" s="5">
        <f t="shared" si="14"/>
        <v>1</v>
      </c>
      <c r="P6" s="6">
        <f t="shared" si="15"/>
        <v>-1.505901473523677E-2</v>
      </c>
      <c r="Q6" s="6">
        <f t="shared" si="4"/>
        <v>-1.3976657140964743E-2</v>
      </c>
      <c r="R6" s="6">
        <f t="shared" si="5"/>
        <v>1.2946436863249255E-3</v>
      </c>
      <c r="S6" s="6">
        <f t="shared" si="6"/>
        <v>2.774102818987656E-2</v>
      </c>
      <c r="T6" s="6">
        <f t="shared" si="7"/>
        <v>0</v>
      </c>
      <c r="U6" s="5"/>
      <c r="V6" s="7">
        <v>-1.7699042233297999</v>
      </c>
      <c r="W6" s="7">
        <v>0.65621458628335028</v>
      </c>
      <c r="X6" s="7">
        <v>0.79876573957227481</v>
      </c>
    </row>
    <row r="7" spans="1:24" x14ac:dyDescent="0.2">
      <c r="A7" s="1" t="s">
        <v>5</v>
      </c>
      <c r="B7" s="5">
        <v>-0.11895959999597749</v>
      </c>
      <c r="C7" s="5">
        <f t="shared" si="8"/>
        <v>0.88784366892520417</v>
      </c>
      <c r="D7" s="5"/>
      <c r="E7" s="5">
        <f t="shared" si="9"/>
        <v>0.1455542401049903</v>
      </c>
      <c r="F7" s="5">
        <f t="shared" si="10"/>
        <v>0.51285529572918098</v>
      </c>
      <c r="G7" s="5">
        <f t="shared" si="11"/>
        <v>3.1300863131991763E-2</v>
      </c>
      <c r="H7" s="5">
        <f t="shared" si="12"/>
        <v>0.31028960103383696</v>
      </c>
      <c r="I7" s="5">
        <f t="shared" si="13"/>
        <v>1</v>
      </c>
      <c r="J7" s="6">
        <f t="shared" si="0"/>
        <v>0.16098132190145131</v>
      </c>
      <c r="K7" s="6">
        <f t="shared" si="1"/>
        <v>0.52365778791218531</v>
      </c>
      <c r="L7" s="6">
        <f t="shared" si="2"/>
        <v>2.9939291525643341E-2</v>
      </c>
      <c r="M7" s="6">
        <f t="shared" si="3"/>
        <v>0.28542159866072003</v>
      </c>
      <c r="N7" s="5">
        <f t="shared" si="14"/>
        <v>1</v>
      </c>
      <c r="P7" s="6">
        <f t="shared" si="15"/>
        <v>1.5427081796461017E-2</v>
      </c>
      <c r="Q7" s="6">
        <f t="shared" si="4"/>
        <v>1.0802492183004331E-2</v>
      </c>
      <c r="R7" s="6">
        <f t="shared" si="5"/>
        <v>-1.3615716063484218E-3</v>
      </c>
      <c r="S7" s="6">
        <f t="shared" si="6"/>
        <v>-2.4868002373116926E-2</v>
      </c>
      <c r="T7" s="6">
        <f t="shared" si="7"/>
        <v>0</v>
      </c>
      <c r="U7" s="5"/>
      <c r="V7" s="7">
        <v>-1.7699042233297999</v>
      </c>
      <c r="W7" s="7">
        <v>0.65621458628335028</v>
      </c>
      <c r="X7" s="7">
        <v>0.79876573957227481</v>
      </c>
    </row>
    <row r="8" spans="1:24" x14ac:dyDescent="0.2">
      <c r="A8" s="1" t="s">
        <v>6</v>
      </c>
      <c r="B8" s="5">
        <v>-0.2490632284626878</v>
      </c>
      <c r="C8" s="5">
        <f t="shared" si="8"/>
        <v>0.77953068329972564</v>
      </c>
      <c r="D8" s="5"/>
      <c r="E8" s="5">
        <f t="shared" si="9"/>
        <v>0.1455542401049903</v>
      </c>
      <c r="F8" s="5">
        <f t="shared" si="10"/>
        <v>0.51285529572918098</v>
      </c>
      <c r="G8" s="5">
        <f t="shared" si="11"/>
        <v>3.1300863131991763E-2</v>
      </c>
      <c r="H8" s="5">
        <f t="shared" si="12"/>
        <v>0.31028960103383696</v>
      </c>
      <c r="I8" s="5">
        <f t="shared" si="13"/>
        <v>1</v>
      </c>
      <c r="J8" s="6">
        <f t="shared" si="0"/>
        <v>0.17933771202102727</v>
      </c>
      <c r="K8" s="6">
        <f>1/(1+EXP(-(W8-B8)))-J8</f>
        <v>0.53269517445354553</v>
      </c>
      <c r="L8" s="6">
        <f t="shared" si="2"/>
        <v>2.8324897104969438E-2</v>
      </c>
      <c r="M8" s="6">
        <f t="shared" si="3"/>
        <v>0.25964221642045782</v>
      </c>
      <c r="N8" s="5">
        <f t="shared" si="14"/>
        <v>1</v>
      </c>
      <c r="P8" s="6">
        <f t="shared" si="15"/>
        <v>3.3783471916036978E-2</v>
      </c>
      <c r="Q8" s="6">
        <f t="shared" si="4"/>
        <v>1.9839878724364546E-2</v>
      </c>
      <c r="R8" s="6">
        <f t="shared" si="5"/>
        <v>-2.9759660270223254E-3</v>
      </c>
      <c r="S8" s="6">
        <f t="shared" si="6"/>
        <v>-5.0647384613379143E-2</v>
      </c>
      <c r="T8" s="6">
        <f t="shared" si="7"/>
        <v>0</v>
      </c>
      <c r="U8" s="5"/>
      <c r="V8" s="7">
        <v>-1.7699042233297999</v>
      </c>
      <c r="W8" s="7">
        <v>0.65621458628335028</v>
      </c>
      <c r="X8" s="7">
        <v>0.79876573957227481</v>
      </c>
    </row>
    <row r="9" spans="1:24" x14ac:dyDescent="0.2">
      <c r="A9" s="1" t="s">
        <v>7</v>
      </c>
      <c r="B9" s="5">
        <v>7.4352162999128918E-2</v>
      </c>
      <c r="C9" s="5">
        <f t="shared" si="8"/>
        <v>1.0771860837902969</v>
      </c>
      <c r="D9" s="5"/>
      <c r="E9" s="5">
        <f t="shared" si="9"/>
        <v>0.1455542401049903</v>
      </c>
      <c r="F9" s="5">
        <f t="shared" si="10"/>
        <v>0.51285529572918098</v>
      </c>
      <c r="G9" s="5">
        <f t="shared" si="11"/>
        <v>3.1300863131991763E-2</v>
      </c>
      <c r="H9" s="5">
        <f t="shared" si="12"/>
        <v>0.31028960103383696</v>
      </c>
      <c r="I9" s="5">
        <f t="shared" si="13"/>
        <v>1</v>
      </c>
      <c r="J9" s="6">
        <f t="shared" si="0"/>
        <v>0.13654867450185307</v>
      </c>
      <c r="K9" s="6">
        <f t="shared" ref="K9:K22" si="16">1/(1+EXP(-(W9-B9)))-J9</f>
        <v>0.50494716272191364</v>
      </c>
      <c r="L9" s="6">
        <f t="shared" si="2"/>
        <v>3.2082338076958261E-2</v>
      </c>
      <c r="M9" s="6">
        <f t="shared" si="3"/>
        <v>0.32642182469927505</v>
      </c>
      <c r="N9" s="5">
        <f t="shared" si="14"/>
        <v>1</v>
      </c>
      <c r="P9" s="6">
        <f t="shared" si="15"/>
        <v>-9.0055656031372278E-3</v>
      </c>
      <c r="Q9" s="6">
        <f t="shared" si="4"/>
        <v>-7.9081330072673373E-3</v>
      </c>
      <c r="R9" s="6">
        <f t="shared" si="5"/>
        <v>7.8147494496649816E-4</v>
      </c>
      <c r="S9" s="6">
        <f t="shared" si="6"/>
        <v>1.6132223665438095E-2</v>
      </c>
      <c r="T9" s="6">
        <f t="shared" si="7"/>
        <v>0</v>
      </c>
      <c r="U9" s="5"/>
      <c r="V9" s="7">
        <v>-1.7699042233297999</v>
      </c>
      <c r="W9" s="7">
        <v>0.65621458628335028</v>
      </c>
      <c r="X9" s="7">
        <v>0.79876573957227481</v>
      </c>
    </row>
    <row r="10" spans="1:24" x14ac:dyDescent="0.2">
      <c r="A10" s="1" t="s">
        <v>8</v>
      </c>
      <c r="B10" s="5">
        <v>2.3983974280381068</v>
      </c>
      <c r="C10" s="5">
        <f t="shared" si="8"/>
        <v>11.005525094748638</v>
      </c>
      <c r="D10" s="5"/>
      <c r="E10" s="5">
        <f t="shared" si="9"/>
        <v>0.1455542401049903</v>
      </c>
      <c r="F10" s="5">
        <f t="shared" si="10"/>
        <v>0.51285529572918098</v>
      </c>
      <c r="G10" s="5">
        <f t="shared" si="11"/>
        <v>3.1300863131991763E-2</v>
      </c>
      <c r="H10" s="5">
        <f t="shared" si="12"/>
        <v>0.31028960103383696</v>
      </c>
      <c r="I10" s="5">
        <f t="shared" si="13"/>
        <v>1</v>
      </c>
      <c r="J10" s="6">
        <f t="shared" si="0"/>
        <v>1.5242592880192507E-2</v>
      </c>
      <c r="K10" s="6">
        <f t="shared" si="16"/>
        <v>0.13379329237565285</v>
      </c>
      <c r="L10" s="6">
        <f t="shared" si="2"/>
        <v>1.8997212521925849E-2</v>
      </c>
      <c r="M10" s="6">
        <f t="shared" si="3"/>
        <v>0.8319669022222288</v>
      </c>
      <c r="N10" s="5">
        <f t="shared" si="14"/>
        <v>1</v>
      </c>
      <c r="P10" s="6">
        <f t="shared" si="15"/>
        <v>-0.13031164722479779</v>
      </c>
      <c r="Q10" s="6">
        <f t="shared" si="4"/>
        <v>-0.37906200335352813</v>
      </c>
      <c r="R10" s="6">
        <f t="shared" si="5"/>
        <v>-1.2303650610065914E-2</v>
      </c>
      <c r="S10" s="6">
        <f t="shared" si="6"/>
        <v>0.52167730118839184</v>
      </c>
      <c r="T10" s="6">
        <f t="shared" si="7"/>
        <v>0</v>
      </c>
      <c r="U10" s="5"/>
      <c r="V10" s="7">
        <v>-1.7699042233297999</v>
      </c>
      <c r="W10" s="7">
        <v>0.65621458628335028</v>
      </c>
      <c r="X10" s="7">
        <v>0.79876573957227481</v>
      </c>
    </row>
    <row r="11" spans="1:24" x14ac:dyDescent="0.2">
      <c r="A11" s="1" t="s">
        <v>9</v>
      </c>
      <c r="B11" s="5">
        <v>-0.18166079034874461</v>
      </c>
      <c r="C11" s="5">
        <f t="shared" si="8"/>
        <v>0.83388415399954052</v>
      </c>
      <c r="D11" s="5"/>
      <c r="E11" s="5">
        <f t="shared" si="9"/>
        <v>0.1455542401049903</v>
      </c>
      <c r="F11" s="5">
        <f t="shared" si="10"/>
        <v>0.51285529572918098</v>
      </c>
      <c r="G11" s="5">
        <f t="shared" si="11"/>
        <v>3.1300863131991763E-2</v>
      </c>
      <c r="H11" s="5">
        <f t="shared" si="12"/>
        <v>0.31028960103383696</v>
      </c>
      <c r="I11" s="5">
        <f t="shared" si="13"/>
        <v>1</v>
      </c>
      <c r="J11" s="6">
        <f t="shared" si="0"/>
        <v>0.16963117714849318</v>
      </c>
      <c r="K11" s="6">
        <f t="shared" si="16"/>
        <v>0.52838638002314464</v>
      </c>
      <c r="L11" s="6">
        <f t="shared" si="2"/>
        <v>2.9175283830200294E-2</v>
      </c>
      <c r="M11" s="6">
        <f t="shared" si="3"/>
        <v>0.27280715899816188</v>
      </c>
      <c r="N11" s="5">
        <f t="shared" si="14"/>
        <v>1</v>
      </c>
      <c r="P11" s="6">
        <f t="shared" si="15"/>
        <v>2.4076937043502888E-2</v>
      </c>
      <c r="Q11" s="6">
        <f t="shared" si="4"/>
        <v>1.553108429396366E-2</v>
      </c>
      <c r="R11" s="6">
        <f t="shared" si="5"/>
        <v>-2.1255793017914693E-3</v>
      </c>
      <c r="S11" s="6">
        <f t="shared" si="6"/>
        <v>-3.7482442035675079E-2</v>
      </c>
      <c r="T11" s="6">
        <f t="shared" si="7"/>
        <v>0</v>
      </c>
      <c r="U11" s="5"/>
      <c r="V11" s="7">
        <v>-1.7699042233297999</v>
      </c>
      <c r="W11" s="7">
        <v>0.65621458628335028</v>
      </c>
      <c r="X11" s="7">
        <v>0.79876573957227481</v>
      </c>
    </row>
    <row r="12" spans="1:24" x14ac:dyDescent="0.2">
      <c r="A12" s="1" t="s">
        <v>10</v>
      </c>
      <c r="B12" s="5">
        <v>2.6289230431930179E-2</v>
      </c>
      <c r="C12" s="5">
        <f t="shared" si="8"/>
        <v>1.0266378404423033</v>
      </c>
      <c r="D12" s="5"/>
      <c r="E12" s="5">
        <f t="shared" si="9"/>
        <v>0.1455542401049903</v>
      </c>
      <c r="F12" s="5">
        <f t="shared" si="10"/>
        <v>0.51285529572918098</v>
      </c>
      <c r="G12" s="5">
        <f t="shared" si="11"/>
        <v>3.1300863131991763E-2</v>
      </c>
      <c r="H12" s="5">
        <f t="shared" si="12"/>
        <v>0.31028960103383696</v>
      </c>
      <c r="I12" s="5">
        <f t="shared" si="13"/>
        <v>1</v>
      </c>
      <c r="J12" s="6">
        <f t="shared" si="0"/>
        <v>0.14231506527915203</v>
      </c>
      <c r="K12" s="6">
        <f t="shared" si="16"/>
        <v>0.51015747138688139</v>
      </c>
      <c r="L12" s="6">
        <f t="shared" si="2"/>
        <v>3.1583832087167085E-2</v>
      </c>
      <c r="M12" s="6">
        <f t="shared" si="3"/>
        <v>0.31594363124679947</v>
      </c>
      <c r="N12" s="5">
        <f t="shared" si="14"/>
        <v>1</v>
      </c>
      <c r="P12" s="6">
        <f t="shared" si="15"/>
        <v>-3.2391748258382702E-3</v>
      </c>
      <c r="Q12" s="6">
        <f t="shared" si="4"/>
        <v>-2.6978243422995929E-3</v>
      </c>
      <c r="R12" s="6">
        <f t="shared" si="5"/>
        <v>2.8296895517532228E-4</v>
      </c>
      <c r="S12" s="6">
        <f t="shared" si="6"/>
        <v>5.6540302129625131E-3</v>
      </c>
      <c r="T12" s="6">
        <f t="shared" si="7"/>
        <v>0</v>
      </c>
      <c r="U12" s="5"/>
      <c r="V12" s="7">
        <v>-1.7699042233297999</v>
      </c>
      <c r="W12" s="7">
        <v>0.65621458628335028</v>
      </c>
      <c r="X12" s="7">
        <v>0.79876573957227481</v>
      </c>
    </row>
    <row r="13" spans="1:24" x14ac:dyDescent="0.2">
      <c r="A13" s="1" t="s">
        <v>11</v>
      </c>
      <c r="B13" s="5">
        <v>4.8352557002521737E-2</v>
      </c>
      <c r="C13" s="5">
        <f t="shared" si="8"/>
        <v>1.0495406129975975</v>
      </c>
      <c r="D13" s="5"/>
      <c r="E13" s="5">
        <f t="shared" si="9"/>
        <v>0.1455542401049903</v>
      </c>
      <c r="F13" s="5">
        <f t="shared" si="10"/>
        <v>0.51285529572918098</v>
      </c>
      <c r="G13" s="5">
        <f t="shared" si="11"/>
        <v>3.1300863131991763E-2</v>
      </c>
      <c r="H13" s="5">
        <f t="shared" si="12"/>
        <v>0.31028960103383696</v>
      </c>
      <c r="I13" s="5">
        <f t="shared" si="13"/>
        <v>1</v>
      </c>
      <c r="J13" s="6">
        <f t="shared" si="0"/>
        <v>0.13964317699881465</v>
      </c>
      <c r="K13" s="6">
        <f t="shared" si="16"/>
        <v>0.50780977093832347</v>
      </c>
      <c r="L13" s="6">
        <f t="shared" si="2"/>
        <v>3.1815774985658352E-2</v>
      </c>
      <c r="M13" s="6">
        <f t="shared" si="3"/>
        <v>0.3207312770772035</v>
      </c>
      <c r="N13" s="5">
        <f t="shared" si="14"/>
        <v>1</v>
      </c>
      <c r="P13" s="6">
        <f t="shared" si="15"/>
        <v>-5.9110631061756458E-3</v>
      </c>
      <c r="Q13" s="6">
        <f t="shared" si="4"/>
        <v>-5.045524790857514E-3</v>
      </c>
      <c r="R13" s="6">
        <f t="shared" si="5"/>
        <v>5.1491185366658865E-4</v>
      </c>
      <c r="S13" s="6">
        <f t="shared" si="6"/>
        <v>1.0441676043366543E-2</v>
      </c>
      <c r="T13" s="6">
        <f t="shared" si="7"/>
        <v>0</v>
      </c>
      <c r="U13" s="5"/>
      <c r="V13" s="7">
        <v>-1.7699042233297999</v>
      </c>
      <c r="W13" s="7">
        <v>0.65621458628335028</v>
      </c>
      <c r="X13" s="7">
        <v>0.79876573957227481</v>
      </c>
    </row>
    <row r="14" spans="1:24" x14ac:dyDescent="0.2">
      <c r="A14" s="1" t="s">
        <v>12</v>
      </c>
      <c r="B14" s="5">
        <v>4.207576972525115E-2</v>
      </c>
      <c r="C14" s="5">
        <f t="shared" si="8"/>
        <v>1.0429735015726151</v>
      </c>
      <c r="D14" s="5"/>
      <c r="E14" s="5">
        <f t="shared" si="9"/>
        <v>0.1455542401049903</v>
      </c>
      <c r="F14" s="5">
        <f t="shared" si="10"/>
        <v>0.51285529572918098</v>
      </c>
      <c r="G14" s="5">
        <f t="shared" si="11"/>
        <v>3.1300863131991763E-2</v>
      </c>
      <c r="H14" s="5">
        <f t="shared" si="12"/>
        <v>0.31028960103383696</v>
      </c>
      <c r="I14" s="5">
        <f t="shared" si="13"/>
        <v>1</v>
      </c>
      <c r="J14" s="6">
        <f t="shared" si="0"/>
        <v>0.14039899589485019</v>
      </c>
      <c r="K14" s="6">
        <f t="shared" si="16"/>
        <v>0.50848534711884119</v>
      </c>
      <c r="L14" s="6">
        <f t="shared" si="2"/>
        <v>3.1750316409892676E-2</v>
      </c>
      <c r="M14" s="6">
        <f t="shared" si="3"/>
        <v>0.31936534057641597</v>
      </c>
      <c r="N14" s="5">
        <f t="shared" si="14"/>
        <v>1</v>
      </c>
      <c r="P14" s="6">
        <f t="shared" si="15"/>
        <v>-5.155244210140103E-3</v>
      </c>
      <c r="Q14" s="6">
        <f t="shared" si="4"/>
        <v>-4.3699486103397911E-3</v>
      </c>
      <c r="R14" s="6">
        <f t="shared" si="5"/>
        <v>4.4945327790091305E-4</v>
      </c>
      <c r="S14" s="6">
        <f t="shared" si="6"/>
        <v>9.0757395425790088E-3</v>
      </c>
      <c r="T14" s="6">
        <f t="shared" si="7"/>
        <v>0</v>
      </c>
      <c r="U14" s="5"/>
      <c r="V14" s="7">
        <v>-1.7699042233297999</v>
      </c>
      <c r="W14" s="7">
        <v>0.65621458628335028</v>
      </c>
      <c r="X14" s="7">
        <v>0.79876573957227481</v>
      </c>
    </row>
    <row r="15" spans="1:24" x14ac:dyDescent="0.2">
      <c r="A15" s="1" t="s">
        <v>13</v>
      </c>
      <c r="B15" s="5">
        <v>0.15433711055168681</v>
      </c>
      <c r="C15" s="5">
        <f t="shared" si="8"/>
        <v>1.1668841894543354</v>
      </c>
      <c r="D15" s="5"/>
      <c r="E15" s="5">
        <f t="shared" si="9"/>
        <v>0.1455542401049903</v>
      </c>
      <c r="F15" s="5">
        <f t="shared" si="10"/>
        <v>0.51285529572918098</v>
      </c>
      <c r="G15" s="5">
        <f t="shared" si="11"/>
        <v>3.1300863131991763E-2</v>
      </c>
      <c r="H15" s="5">
        <f t="shared" si="12"/>
        <v>0.31028960103383696</v>
      </c>
      <c r="I15" s="5">
        <f t="shared" si="13"/>
        <v>1</v>
      </c>
      <c r="J15" s="6">
        <f t="shared" si="0"/>
        <v>0.12738934855168707</v>
      </c>
      <c r="K15" s="6">
        <f t="shared" si="16"/>
        <v>0.49551109486904221</v>
      </c>
      <c r="L15" s="6">
        <f t="shared" si="2"/>
        <v>3.2853427565122217E-2</v>
      </c>
      <c r="M15" s="6">
        <f t="shared" si="3"/>
        <v>0.34424612901414853</v>
      </c>
      <c r="N15" s="5">
        <f t="shared" si="14"/>
        <v>1</v>
      </c>
      <c r="P15" s="6">
        <f t="shared" si="15"/>
        <v>-1.8164891553303225E-2</v>
      </c>
      <c r="Q15" s="6">
        <f t="shared" si="4"/>
        <v>-1.734420086013877E-2</v>
      </c>
      <c r="R15" s="6">
        <f t="shared" si="5"/>
        <v>1.5525644331304544E-3</v>
      </c>
      <c r="S15" s="6">
        <f t="shared" si="6"/>
        <v>3.3956527980311568E-2</v>
      </c>
      <c r="T15" s="6">
        <f t="shared" si="7"/>
        <v>0</v>
      </c>
      <c r="U15" s="5"/>
      <c r="V15" s="7">
        <v>-1.7699042233297999</v>
      </c>
      <c r="W15" s="7">
        <v>0.65621458628335028</v>
      </c>
      <c r="X15" s="7">
        <v>0.79876573957227481</v>
      </c>
    </row>
    <row r="16" spans="1:24" x14ac:dyDescent="0.2">
      <c r="A16" s="1" t="s">
        <v>14</v>
      </c>
      <c r="B16" s="5">
        <v>0.25346515177987322</v>
      </c>
      <c r="C16" s="5">
        <f t="shared" si="8"/>
        <v>1.2884824773819157</v>
      </c>
      <c r="D16" s="5"/>
      <c r="E16" s="5">
        <f t="shared" si="9"/>
        <v>0.1455542401049903</v>
      </c>
      <c r="F16" s="5">
        <f t="shared" si="10"/>
        <v>0.51285529572918098</v>
      </c>
      <c r="G16" s="5">
        <f t="shared" si="11"/>
        <v>3.1300863131991763E-2</v>
      </c>
      <c r="H16" s="5">
        <f t="shared" si="12"/>
        <v>0.31028960103383696</v>
      </c>
      <c r="I16" s="5">
        <f t="shared" si="13"/>
        <v>1</v>
      </c>
      <c r="J16" s="6">
        <f t="shared" si="0"/>
        <v>0.11677103951376755</v>
      </c>
      <c r="K16" s="6">
        <f t="shared" si="16"/>
        <v>0.48257702217660559</v>
      </c>
      <c r="L16" s="6">
        <f t="shared" si="2"/>
        <v>3.3696544065666134E-2</v>
      </c>
      <c r="M16" s="6">
        <f t="shared" si="3"/>
        <v>0.36695539424396073</v>
      </c>
      <c r="N16" s="5">
        <f t="shared" si="14"/>
        <v>1</v>
      </c>
      <c r="P16" s="6">
        <f t="shared" si="15"/>
        <v>-2.8783200591222746E-2</v>
      </c>
      <c r="Q16" s="6">
        <f t="shared" si="4"/>
        <v>-3.0278273552575397E-2</v>
      </c>
      <c r="R16" s="6">
        <f t="shared" si="5"/>
        <v>2.3956809336743712E-3</v>
      </c>
      <c r="S16" s="6">
        <f t="shared" si="6"/>
        <v>5.6665793210123772E-2</v>
      </c>
      <c r="T16" s="6">
        <f t="shared" si="7"/>
        <v>0</v>
      </c>
      <c r="U16" s="5"/>
      <c r="V16" s="7">
        <v>-1.7699042233297999</v>
      </c>
      <c r="W16" s="7">
        <v>0.65621458628335028</v>
      </c>
      <c r="X16" s="7">
        <v>0.79876573957227481</v>
      </c>
    </row>
    <row r="17" spans="1:24" x14ac:dyDescent="0.2">
      <c r="A17" s="1" t="s">
        <v>15</v>
      </c>
      <c r="B17" s="5">
        <v>1.6177596290463541E-2</v>
      </c>
      <c r="C17" s="5">
        <f t="shared" si="8"/>
        <v>1.0163091621167792</v>
      </c>
      <c r="D17" s="5"/>
      <c r="E17" s="5">
        <f t="shared" si="9"/>
        <v>0.1455542401049903</v>
      </c>
      <c r="F17" s="5">
        <f t="shared" si="10"/>
        <v>0.51285529572918098</v>
      </c>
      <c r="G17" s="5">
        <f t="shared" si="11"/>
        <v>3.1300863131991763E-2</v>
      </c>
      <c r="H17" s="5">
        <f t="shared" si="12"/>
        <v>0.31028960103383696</v>
      </c>
      <c r="I17" s="5">
        <f t="shared" si="13"/>
        <v>1</v>
      </c>
      <c r="J17" s="6">
        <f t="shared" si="0"/>
        <v>0.14355377597198746</v>
      </c>
      <c r="K17" s="6">
        <f t="shared" si="16"/>
        <v>0.51120804622490257</v>
      </c>
      <c r="L17" s="6">
        <f t="shared" si="2"/>
        <v>3.1475827630454756E-2</v>
      </c>
      <c r="M17" s="6">
        <f t="shared" si="3"/>
        <v>0.31376235017265519</v>
      </c>
      <c r="N17" s="5">
        <f t="shared" si="14"/>
        <v>1</v>
      </c>
      <c r="P17" s="6">
        <f t="shared" si="15"/>
        <v>-2.0004641330028383E-3</v>
      </c>
      <c r="Q17" s="6">
        <f t="shared" si="4"/>
        <v>-1.6472495042784141E-3</v>
      </c>
      <c r="R17" s="6">
        <f t="shared" si="5"/>
        <v>1.7496449846299278E-4</v>
      </c>
      <c r="S17" s="6">
        <f t="shared" si="6"/>
        <v>3.4727491388182319E-3</v>
      </c>
      <c r="T17" s="6">
        <f t="shared" si="7"/>
        <v>0</v>
      </c>
      <c r="U17" s="5"/>
      <c r="V17" s="7">
        <v>-1.7699042233297999</v>
      </c>
      <c r="W17" s="7">
        <v>0.65621458628335028</v>
      </c>
      <c r="X17" s="7">
        <v>0.79876573957227481</v>
      </c>
    </row>
    <row r="18" spans="1:24" x14ac:dyDescent="0.2">
      <c r="A18" s="1" t="s">
        <v>16</v>
      </c>
      <c r="B18" s="5">
        <v>-1.026203122800245E-2</v>
      </c>
      <c r="C18" s="5">
        <f t="shared" si="8"/>
        <v>0.98979044376106984</v>
      </c>
      <c r="D18" s="5"/>
      <c r="E18" s="5">
        <f t="shared" si="9"/>
        <v>0.1455542401049903</v>
      </c>
      <c r="F18" s="5">
        <f t="shared" si="10"/>
        <v>0.51285529572918098</v>
      </c>
      <c r="G18" s="5">
        <f t="shared" si="11"/>
        <v>3.1300863131991763E-2</v>
      </c>
      <c r="H18" s="5">
        <f t="shared" si="12"/>
        <v>0.31028960103383696</v>
      </c>
      <c r="I18" s="5">
        <f t="shared" si="13"/>
        <v>1</v>
      </c>
      <c r="J18" s="6">
        <f t="shared" si="0"/>
        <v>0.14683515837680408</v>
      </c>
      <c r="K18" s="6">
        <f t="shared" si="16"/>
        <v>0.51387860816496655</v>
      </c>
      <c r="L18" s="6">
        <f t="shared" si="2"/>
        <v>3.1188522924744166E-2</v>
      </c>
      <c r="M18" s="6">
        <f t="shared" si="3"/>
        <v>0.30809771053348523</v>
      </c>
      <c r="N18" s="5">
        <f t="shared" si="14"/>
        <v>1</v>
      </c>
      <c r="P18" s="6">
        <f t="shared" si="15"/>
        <v>1.2809182718137857E-3</v>
      </c>
      <c r="Q18" s="6">
        <f t="shared" si="4"/>
        <v>1.0233124357855727E-3</v>
      </c>
      <c r="R18" s="6">
        <f t="shared" si="5"/>
        <v>-1.1234020724759652E-4</v>
      </c>
      <c r="S18" s="6">
        <f t="shared" si="6"/>
        <v>-2.1918905003517342E-3</v>
      </c>
      <c r="T18" s="6">
        <f t="shared" si="7"/>
        <v>0</v>
      </c>
      <c r="U18" s="5"/>
      <c r="V18" s="7">
        <v>-1.7699042233297999</v>
      </c>
      <c r="W18" s="7">
        <v>0.65621458628335028</v>
      </c>
      <c r="X18" s="7">
        <v>0.79876573957227481</v>
      </c>
    </row>
    <row r="19" spans="1:24" x14ac:dyDescent="0.2">
      <c r="A19" s="1" t="s">
        <v>17</v>
      </c>
      <c r="B19" s="5">
        <v>0.26060350915841568</v>
      </c>
      <c r="C19" s="5">
        <f t="shared" si="8"/>
        <v>1.297713032084501</v>
      </c>
      <c r="D19" s="5"/>
      <c r="E19" s="5">
        <f t="shared" si="9"/>
        <v>0.1455542401049903</v>
      </c>
      <c r="F19" s="5">
        <f t="shared" si="10"/>
        <v>0.51285529572918098</v>
      </c>
      <c r="G19" s="5">
        <f t="shared" si="11"/>
        <v>3.1300863131991763E-2</v>
      </c>
      <c r="H19" s="5">
        <f t="shared" si="12"/>
        <v>0.31028960103383696</v>
      </c>
      <c r="I19" s="5">
        <f t="shared" si="13"/>
        <v>1</v>
      </c>
      <c r="J19" s="6">
        <f t="shared" si="0"/>
        <v>0.11603683263320208</v>
      </c>
      <c r="K19" s="6">
        <f t="shared" si="16"/>
        <v>0.48159588636038231</v>
      </c>
      <c r="L19" s="6">
        <f t="shared" si="2"/>
        <v>3.3752083232816865E-2</v>
      </c>
      <c r="M19" s="6">
        <f t="shared" si="3"/>
        <v>0.36861519777359875</v>
      </c>
      <c r="N19" s="5">
        <f t="shared" si="14"/>
        <v>1</v>
      </c>
      <c r="P19" s="6">
        <f t="shared" si="15"/>
        <v>-2.9517407471788215E-2</v>
      </c>
      <c r="Q19" s="6">
        <f t="shared" si="4"/>
        <v>-3.1259409368798674E-2</v>
      </c>
      <c r="R19" s="6">
        <f t="shared" si="5"/>
        <v>2.4512201008251022E-3</v>
      </c>
      <c r="S19" s="6">
        <f t="shared" si="6"/>
        <v>5.8325596739761787E-2</v>
      </c>
      <c r="T19" s="6">
        <f t="shared" si="7"/>
        <v>0</v>
      </c>
      <c r="U19" s="5"/>
      <c r="V19" s="7">
        <v>-1.7699042233297999</v>
      </c>
      <c r="W19" s="7">
        <v>0.65621458628335028</v>
      </c>
      <c r="X19" s="7">
        <v>0.79876573957227481</v>
      </c>
    </row>
    <row r="20" spans="1:24" x14ac:dyDescent="0.2">
      <c r="A20" s="1" t="s">
        <v>18</v>
      </c>
      <c r="B20" s="5">
        <v>0.1797915478285706</v>
      </c>
      <c r="C20" s="5">
        <f t="shared" si="8"/>
        <v>1.1969678265719159</v>
      </c>
      <c r="D20" s="5"/>
      <c r="E20" s="5">
        <f t="shared" si="9"/>
        <v>0.1455542401049903</v>
      </c>
      <c r="F20" s="5">
        <f t="shared" si="10"/>
        <v>0.51285529572918098</v>
      </c>
      <c r="G20" s="5">
        <f t="shared" si="11"/>
        <v>3.1300863131991763E-2</v>
      </c>
      <c r="H20" s="5">
        <f t="shared" si="12"/>
        <v>0.31028960103383696</v>
      </c>
      <c r="I20" s="5">
        <f t="shared" si="13"/>
        <v>1</v>
      </c>
      <c r="J20" s="6">
        <f t="shared" si="0"/>
        <v>0.12458653503454832</v>
      </c>
      <c r="K20" s="6">
        <f t="shared" si="16"/>
        <v>0.49231633735673497</v>
      </c>
      <c r="L20" s="6">
        <f t="shared" si="2"/>
        <v>3.308233617374523E-2</v>
      </c>
      <c r="M20" s="6">
        <f t="shared" si="3"/>
        <v>0.3500147914349715</v>
      </c>
      <c r="N20" s="5">
        <f t="shared" si="14"/>
        <v>1</v>
      </c>
      <c r="P20" s="6">
        <f t="shared" si="15"/>
        <v>-2.0967705070441975E-2</v>
      </c>
      <c r="Q20" s="6">
        <f t="shared" si="4"/>
        <v>-2.0538958372446015E-2</v>
      </c>
      <c r="R20" s="6">
        <f t="shared" si="5"/>
        <v>1.7814730417534674E-3</v>
      </c>
      <c r="S20" s="6">
        <f t="shared" si="6"/>
        <v>3.9725190401134536E-2</v>
      </c>
      <c r="T20" s="6">
        <f t="shared" si="7"/>
        <v>0</v>
      </c>
      <c r="V20" s="7">
        <v>-1.7699042233297999</v>
      </c>
      <c r="W20" s="7">
        <v>0.65621458628335028</v>
      </c>
      <c r="X20" s="7">
        <v>0.79876573957227481</v>
      </c>
    </row>
    <row r="21" spans="1:24" x14ac:dyDescent="0.2">
      <c r="A21" s="1" t="s">
        <v>19</v>
      </c>
      <c r="B21" s="5">
        <v>0.69444424295594287</v>
      </c>
      <c r="C21" s="5">
        <f t="shared" si="8"/>
        <v>2.00259580789047</v>
      </c>
      <c r="D21" s="5"/>
      <c r="E21" s="5">
        <f t="shared" si="9"/>
        <v>0.1455542401049903</v>
      </c>
      <c r="F21" s="5">
        <f t="shared" si="10"/>
        <v>0.51285529572918098</v>
      </c>
      <c r="G21" s="5">
        <f t="shared" si="11"/>
        <v>3.1300863131991763E-2</v>
      </c>
      <c r="H21" s="5">
        <f t="shared" si="12"/>
        <v>0.31028960103383696</v>
      </c>
      <c r="I21" s="5">
        <f t="shared" si="13"/>
        <v>1</v>
      </c>
      <c r="J21" s="6">
        <f t="shared" si="0"/>
        <v>7.8395585161177186E-2</v>
      </c>
      <c r="K21" s="6">
        <f t="shared" si="16"/>
        <v>0.41204816451927417</v>
      </c>
      <c r="L21" s="6">
        <f t="shared" si="2"/>
        <v>3.5612997515545142E-2</v>
      </c>
      <c r="M21" s="6">
        <f t="shared" si="3"/>
        <v>0.47394325280400351</v>
      </c>
      <c r="N21" s="5">
        <f t="shared" si="14"/>
        <v>1</v>
      </c>
      <c r="P21" s="6">
        <f t="shared" si="15"/>
        <v>-6.7158654943813109E-2</v>
      </c>
      <c r="Q21" s="6">
        <f t="shared" si="4"/>
        <v>-0.10080713120990681</v>
      </c>
      <c r="R21" s="6">
        <f t="shared" si="5"/>
        <v>4.3121343835533787E-3</v>
      </c>
      <c r="S21" s="6">
        <f t="shared" si="6"/>
        <v>0.16365365177016655</v>
      </c>
      <c r="T21" s="6">
        <f t="shared" si="7"/>
        <v>0</v>
      </c>
      <c r="V21" s="7">
        <v>-1.7699042233297999</v>
      </c>
      <c r="W21" s="7">
        <v>0.65621458628335028</v>
      </c>
      <c r="X21" s="7">
        <v>0.79876573957227481</v>
      </c>
    </row>
    <row r="22" spans="1:24" x14ac:dyDescent="0.2">
      <c r="A22" s="1" t="s">
        <v>20</v>
      </c>
      <c r="B22" s="5">
        <v>0.2240825737291994</v>
      </c>
      <c r="C22" s="5">
        <f t="shared" si="8"/>
        <v>1.2511743292932116</v>
      </c>
      <c r="D22" s="5"/>
      <c r="E22" s="5">
        <f t="shared" si="9"/>
        <v>0.1455542401049903</v>
      </c>
      <c r="F22" s="5">
        <f t="shared" si="10"/>
        <v>0.51285529572918098</v>
      </c>
      <c r="G22" s="5">
        <f t="shared" si="11"/>
        <v>3.1300863131991763E-2</v>
      </c>
      <c r="H22" s="5">
        <f t="shared" si="12"/>
        <v>0.31028960103383696</v>
      </c>
      <c r="I22" s="5">
        <f t="shared" si="13"/>
        <v>1</v>
      </c>
      <c r="J22" s="6">
        <f t="shared" si="0"/>
        <v>0.1198357168318573</v>
      </c>
      <c r="K22" s="6">
        <f t="shared" si="16"/>
        <v>0.48654694142752503</v>
      </c>
      <c r="L22" s="6">
        <f t="shared" si="2"/>
        <v>3.3460429211564779E-2</v>
      </c>
      <c r="M22" s="6">
        <f t="shared" si="3"/>
        <v>0.36015691252905291</v>
      </c>
      <c r="N22" s="5">
        <f t="shared" si="14"/>
        <v>1</v>
      </c>
      <c r="P22" s="6">
        <f t="shared" si="15"/>
        <v>-2.5718523273132995E-2</v>
      </c>
      <c r="Q22" s="6">
        <f t="shared" si="4"/>
        <v>-2.6308354301655956E-2</v>
      </c>
      <c r="R22" s="6">
        <f t="shared" si="5"/>
        <v>2.1595660795730165E-3</v>
      </c>
      <c r="S22" s="6">
        <f t="shared" si="6"/>
        <v>4.9867311495215949E-2</v>
      </c>
      <c r="T22" s="6">
        <f t="shared" si="7"/>
        <v>0</v>
      </c>
      <c r="V22" s="7">
        <v>-1.7699042233297999</v>
      </c>
      <c r="W22" s="7">
        <v>0.65621458628335028</v>
      </c>
      <c r="X22" s="7">
        <v>0.79876573957227481</v>
      </c>
    </row>
    <row r="24" spans="1:24" x14ac:dyDescent="0.2">
      <c r="A24" s="8" t="s">
        <v>35</v>
      </c>
    </row>
    <row r="25" spans="1:24" x14ac:dyDescent="0.2">
      <c r="B25" s="1" t="s">
        <v>0</v>
      </c>
      <c r="C25" s="4" t="s">
        <v>29</v>
      </c>
      <c r="D25" s="4"/>
      <c r="E25" t="s">
        <v>24</v>
      </c>
      <c r="F25" t="s">
        <v>25</v>
      </c>
      <c r="G25" t="s">
        <v>26</v>
      </c>
      <c r="H25" t="s">
        <v>27</v>
      </c>
      <c r="I25" t="s">
        <v>32</v>
      </c>
      <c r="J25" t="s">
        <v>24</v>
      </c>
      <c r="K25" t="s">
        <v>25</v>
      </c>
      <c r="L25" t="s">
        <v>26</v>
      </c>
      <c r="M25" t="s">
        <v>27</v>
      </c>
      <c r="N25" t="s">
        <v>32</v>
      </c>
      <c r="P25" t="s">
        <v>24</v>
      </c>
      <c r="Q25" t="s">
        <v>25</v>
      </c>
      <c r="R25" t="s">
        <v>26</v>
      </c>
      <c r="S25" t="s">
        <v>27</v>
      </c>
      <c r="T25" t="s">
        <v>32</v>
      </c>
      <c r="V25" s="3" t="s">
        <v>21</v>
      </c>
      <c r="W25" s="3" t="s">
        <v>22</v>
      </c>
      <c r="X25" s="3" t="s">
        <v>23</v>
      </c>
    </row>
    <row r="26" spans="1:24" x14ac:dyDescent="0.2">
      <c r="A26" s="1" t="s">
        <v>1</v>
      </c>
      <c r="B26">
        <v>-6.5319231342899936E-2</v>
      </c>
      <c r="C26" s="5">
        <f t="shared" ref="C26:C44" si="17">EXP(B26)</f>
        <v>0.93676836981524136</v>
      </c>
      <c r="E26" s="5">
        <f>1/(1+EXP(-(V26-0)))</f>
        <v>0.14739404430699726</v>
      </c>
      <c r="F26" s="5">
        <f>1/(1+EXP(-(W26-0)))-E26</f>
        <v>0.51048905245051746</v>
      </c>
      <c r="G26" s="5">
        <f>1/(1+EXP(-(X26-0)))-1/(1+EXP(-(W26-0)))</f>
        <v>3.1301809933232172E-2</v>
      </c>
      <c r="H26" s="5">
        <f>1-1/(1+EXP(-(X26-0)))</f>
        <v>0.31081509330925317</v>
      </c>
      <c r="I26" s="5">
        <f>SUM(E26:H26)</f>
        <v>1</v>
      </c>
      <c r="J26" s="6">
        <f t="shared" ref="J26:J45" si="18">1/(1+EXP(-(V26-B26)))</f>
        <v>0.15579311019257172</v>
      </c>
      <c r="K26" s="6">
        <f t="shared" ref="K26:K30" si="19">1/(1+EXP(-(W26-B26)))-J26</f>
        <v>0.51663639139291051</v>
      </c>
      <c r="L26" s="6">
        <f t="shared" ref="L26:L45" si="20">1/(1+EXP(-(X26-B26)))-1/(1+EXP(-(W26-B26)))</f>
        <v>3.0571730887775095E-2</v>
      </c>
      <c r="M26" s="6">
        <f t="shared" ref="M26:M45" si="21">1-1/(1+EXP(-(X26-B26)))</f>
        <v>0.2969987675267427</v>
      </c>
      <c r="N26" s="5">
        <f>SUM(J26:M26)</f>
        <v>1</v>
      </c>
      <c r="P26" s="6">
        <f>J26-E26</f>
        <v>8.3990658855744582E-3</v>
      </c>
      <c r="Q26" s="6">
        <f t="shared" ref="Q26:Q45" si="22">K26-F26</f>
        <v>6.1473389423930547E-3</v>
      </c>
      <c r="R26" s="6">
        <f t="shared" ref="R26:R45" si="23">L26-G26</f>
        <v>-7.3007904545707714E-4</v>
      </c>
      <c r="S26" s="6">
        <f t="shared" ref="S26:S45" si="24">M26-H26</f>
        <v>-1.3816325782510464E-2</v>
      </c>
      <c r="T26" s="6">
        <f t="shared" ref="T26:T45" si="25">N26-I26</f>
        <v>0</v>
      </c>
      <c r="V26" s="7">
        <v>-1.755187915671417</v>
      </c>
      <c r="W26" s="7">
        <v>0.65387475003774764</v>
      </c>
      <c r="X26" s="7">
        <v>0.79631142457627413</v>
      </c>
    </row>
    <row r="27" spans="1:24" x14ac:dyDescent="0.2">
      <c r="A27" s="1" t="s">
        <v>2</v>
      </c>
      <c r="B27">
        <v>6.2429554455127982E-2</v>
      </c>
      <c r="C27" s="5">
        <f t="shared" si="17"/>
        <v>1.0644194726669425</v>
      </c>
      <c r="E27" s="5">
        <f t="shared" ref="E27:E45" si="26">1/(1+EXP(-(V27-0)))</f>
        <v>0.14739404430699726</v>
      </c>
      <c r="F27" s="5">
        <f t="shared" ref="F27:F45" si="27">1/(1+EXP(-(W27-0)))-E27</f>
        <v>0.51048905245051746</v>
      </c>
      <c r="G27" s="5">
        <f t="shared" ref="G27:G45" si="28">1/(1+EXP(-(X27-0)))-1/(1+EXP(-(W27-0)))</f>
        <v>3.1301809933232172E-2</v>
      </c>
      <c r="H27" s="5">
        <f t="shared" ref="H27:H45" si="29">1-1/(1+EXP(-(X27-0)))</f>
        <v>0.31081509330925317</v>
      </c>
      <c r="I27" s="5">
        <f t="shared" ref="I27:I45" si="30">SUM(E27:H27)</f>
        <v>1</v>
      </c>
      <c r="J27" s="6">
        <f t="shared" si="18"/>
        <v>0.13972000331598386</v>
      </c>
      <c r="K27" s="6">
        <f t="shared" si="19"/>
        <v>0.50397666860588286</v>
      </c>
      <c r="L27" s="6">
        <f t="shared" si="20"/>
        <v>3.1959871621293212E-2</v>
      </c>
      <c r="M27" s="6">
        <f t="shared" si="21"/>
        <v>0.32434345645684004</v>
      </c>
      <c r="N27" s="5">
        <f t="shared" ref="N27:N45" si="31">SUM(J27:M27)</f>
        <v>1</v>
      </c>
      <c r="P27" s="6">
        <f t="shared" ref="P27:P45" si="32">J27-E27</f>
        <v>-7.6740409910134033E-3</v>
      </c>
      <c r="Q27" s="6">
        <f t="shared" si="22"/>
        <v>-6.512383844634595E-3</v>
      </c>
      <c r="R27" s="6">
        <f t="shared" si="23"/>
        <v>6.5806168806104015E-4</v>
      </c>
      <c r="S27" s="6">
        <f t="shared" si="24"/>
        <v>1.3528363147586875E-2</v>
      </c>
      <c r="T27" s="6">
        <f t="shared" si="25"/>
        <v>0</v>
      </c>
      <c r="V27" s="7">
        <v>-1.755187915671417</v>
      </c>
      <c r="W27" s="7">
        <v>0.65387475003774764</v>
      </c>
      <c r="X27" s="7">
        <v>0.79631142457627413</v>
      </c>
    </row>
    <row r="28" spans="1:24" x14ac:dyDescent="0.2">
      <c r="A28" s="1" t="s">
        <v>3</v>
      </c>
      <c r="B28">
        <v>8.3670012036967376E-2</v>
      </c>
      <c r="C28" s="5">
        <f t="shared" si="17"/>
        <v>1.0872700485761828</v>
      </c>
      <c r="E28" s="5">
        <f t="shared" si="26"/>
        <v>0.14739404430699726</v>
      </c>
      <c r="F28" s="5">
        <f t="shared" si="27"/>
        <v>0.51048905245051746</v>
      </c>
      <c r="G28" s="5">
        <f t="shared" si="28"/>
        <v>3.1301809933232172E-2</v>
      </c>
      <c r="H28" s="5">
        <f t="shared" si="29"/>
        <v>0.31081509330925317</v>
      </c>
      <c r="I28" s="5">
        <f t="shared" si="30"/>
        <v>1</v>
      </c>
      <c r="J28" s="6">
        <f t="shared" si="18"/>
        <v>0.13718641944776816</v>
      </c>
      <c r="K28" s="6">
        <f t="shared" si="19"/>
        <v>0.50162399658398882</v>
      </c>
      <c r="L28" s="6">
        <f t="shared" si="20"/>
        <v>3.2174136466658454E-2</v>
      </c>
      <c r="M28" s="6">
        <f t="shared" si="21"/>
        <v>0.32901544750158462</v>
      </c>
      <c r="N28" s="5">
        <f t="shared" si="31"/>
        <v>1</v>
      </c>
      <c r="P28" s="6">
        <f t="shared" si="32"/>
        <v>-1.0207624859229103E-2</v>
      </c>
      <c r="Q28" s="6">
        <f t="shared" si="22"/>
        <v>-8.8650558665286372E-3</v>
      </c>
      <c r="R28" s="6">
        <f t="shared" si="23"/>
        <v>8.7232653342628197E-4</v>
      </c>
      <c r="S28" s="6">
        <f t="shared" si="24"/>
        <v>1.8200354192331458E-2</v>
      </c>
      <c r="T28" s="6">
        <f t="shared" si="25"/>
        <v>0</v>
      </c>
      <c r="V28" s="7">
        <v>-1.755187915671417</v>
      </c>
      <c r="W28" s="7">
        <v>0.65387475003774764</v>
      </c>
      <c r="X28" s="7">
        <v>0.79631142457627413</v>
      </c>
    </row>
    <row r="29" spans="1:24" x14ac:dyDescent="0.2">
      <c r="A29" s="1" t="s">
        <v>4</v>
      </c>
      <c r="B29">
        <v>0.1244440290503824</v>
      </c>
      <c r="C29" s="5">
        <f t="shared" si="17"/>
        <v>1.1325186305430537</v>
      </c>
      <c r="E29" s="5">
        <f t="shared" si="26"/>
        <v>0.14739404430699726</v>
      </c>
      <c r="F29" s="5">
        <f t="shared" si="27"/>
        <v>0.51048905245051746</v>
      </c>
      <c r="G29" s="5">
        <f t="shared" si="28"/>
        <v>3.1301809933232172E-2</v>
      </c>
      <c r="H29" s="5">
        <f t="shared" si="29"/>
        <v>0.31081509330925317</v>
      </c>
      <c r="I29" s="5">
        <f t="shared" si="30"/>
        <v>1</v>
      </c>
      <c r="J29" s="6">
        <f t="shared" si="18"/>
        <v>0.13243115484963958</v>
      </c>
      <c r="K29" s="6">
        <f t="shared" si="19"/>
        <v>0.49691917204182406</v>
      </c>
      <c r="L29" s="6">
        <f t="shared" si="20"/>
        <v>3.2570847219749455E-2</v>
      </c>
      <c r="M29" s="6">
        <f t="shared" si="21"/>
        <v>0.3380788258887869</v>
      </c>
      <c r="N29" s="5">
        <f t="shared" si="31"/>
        <v>1</v>
      </c>
      <c r="P29" s="6">
        <f t="shared" si="32"/>
        <v>-1.4962889457357686E-2</v>
      </c>
      <c r="Q29" s="6">
        <f t="shared" si="22"/>
        <v>-1.3569880408693391E-2</v>
      </c>
      <c r="R29" s="6">
        <f t="shared" si="23"/>
        <v>1.2690372865172828E-3</v>
      </c>
      <c r="S29" s="6">
        <f t="shared" si="24"/>
        <v>2.7263732579533739E-2</v>
      </c>
      <c r="T29" s="6">
        <f t="shared" si="25"/>
        <v>0</v>
      </c>
      <c r="V29" s="7">
        <v>-1.755187915671417</v>
      </c>
      <c r="W29" s="7">
        <v>0.65387475003774764</v>
      </c>
      <c r="X29" s="7">
        <v>0.79631142457627413</v>
      </c>
    </row>
    <row r="30" spans="1:24" x14ac:dyDescent="0.2">
      <c r="A30" s="1" t="s">
        <v>6</v>
      </c>
      <c r="B30">
        <v>-0.23785622347809901</v>
      </c>
      <c r="C30" s="5">
        <f t="shared" si="17"/>
        <v>0.78831602428237946</v>
      </c>
      <c r="E30" s="5">
        <f t="shared" si="26"/>
        <v>0.14739404430699726</v>
      </c>
      <c r="F30" s="5">
        <f t="shared" si="27"/>
        <v>0.51048905245051746</v>
      </c>
      <c r="G30" s="5">
        <f t="shared" si="28"/>
        <v>3.1301809933232172E-2</v>
      </c>
      <c r="H30" s="5">
        <f t="shared" si="29"/>
        <v>0.31081509330925317</v>
      </c>
      <c r="I30" s="5">
        <f t="shared" si="30"/>
        <v>1</v>
      </c>
      <c r="J30" s="6">
        <f t="shared" si="18"/>
        <v>0.17985477741183276</v>
      </c>
      <c r="K30" s="6">
        <f t="shared" si="19"/>
        <v>0.52939247811910983</v>
      </c>
      <c r="L30" s="6">
        <f t="shared" si="20"/>
        <v>2.8475827637218343E-2</v>
      </c>
      <c r="M30" s="6">
        <f t="shared" si="21"/>
        <v>0.26227691683183907</v>
      </c>
      <c r="N30" s="5">
        <f t="shared" si="31"/>
        <v>1</v>
      </c>
      <c r="P30" s="6">
        <f t="shared" si="32"/>
        <v>3.2460733104835493E-2</v>
      </c>
      <c r="Q30" s="6">
        <f t="shared" si="22"/>
        <v>1.8903425668592377E-2</v>
      </c>
      <c r="R30" s="6">
        <f t="shared" si="23"/>
        <v>-2.8259822960138292E-3</v>
      </c>
      <c r="S30" s="6">
        <f t="shared" si="24"/>
        <v>-4.8538176477414097E-2</v>
      </c>
      <c r="T30" s="6">
        <f t="shared" si="25"/>
        <v>0</v>
      </c>
      <c r="V30" s="7">
        <v>-1.755187915671417</v>
      </c>
      <c r="W30" s="7">
        <v>0.65387475003774764</v>
      </c>
      <c r="X30" s="7">
        <v>0.79631142457627413</v>
      </c>
    </row>
    <row r="31" spans="1:24" x14ac:dyDescent="0.2">
      <c r="A31" s="1" t="s">
        <v>7</v>
      </c>
      <c r="B31">
        <v>8.4847882398355279E-2</v>
      </c>
      <c r="C31" s="5">
        <f t="shared" si="17"/>
        <v>1.0885514662650326</v>
      </c>
      <c r="E31" s="5">
        <f t="shared" si="26"/>
        <v>0.14739404430699726</v>
      </c>
      <c r="F31" s="5">
        <f t="shared" si="27"/>
        <v>0.51048905245051746</v>
      </c>
      <c r="G31" s="5">
        <f t="shared" si="28"/>
        <v>3.1301809933232172E-2</v>
      </c>
      <c r="H31" s="5">
        <f t="shared" si="29"/>
        <v>0.31081509330925317</v>
      </c>
      <c r="I31" s="5">
        <f t="shared" si="30"/>
        <v>1</v>
      </c>
      <c r="J31" s="6">
        <f t="shared" si="18"/>
        <v>0.13704705885591198</v>
      </c>
      <c r="K31" s="6">
        <f>1/(1+EXP(-(W31-B31)))-J31</f>
        <v>0.50149154077146219</v>
      </c>
      <c r="L31" s="6">
        <f t="shared" si="20"/>
        <v>3.2185868815225338E-2</v>
      </c>
      <c r="M31" s="6">
        <f t="shared" si="21"/>
        <v>0.32927553155740052</v>
      </c>
      <c r="N31" s="5">
        <f t="shared" si="31"/>
        <v>1</v>
      </c>
      <c r="P31" s="6">
        <f t="shared" si="32"/>
        <v>-1.0346985451085283E-2</v>
      </c>
      <c r="Q31" s="6">
        <f t="shared" si="22"/>
        <v>-8.9975116790552701E-3</v>
      </c>
      <c r="R31" s="6">
        <f t="shared" si="23"/>
        <v>8.8405888199316607E-4</v>
      </c>
      <c r="S31" s="6">
        <f t="shared" si="24"/>
        <v>1.8460438248147359E-2</v>
      </c>
      <c r="T31" s="6">
        <f t="shared" si="25"/>
        <v>0</v>
      </c>
      <c r="V31" s="7">
        <v>-1.755187915671417</v>
      </c>
      <c r="W31" s="7">
        <v>0.65387475003774764</v>
      </c>
      <c r="X31" s="7">
        <v>0.79631142457627413</v>
      </c>
    </row>
    <row r="32" spans="1:24" x14ac:dyDescent="0.2">
      <c r="A32" s="1" t="s">
        <v>8</v>
      </c>
      <c r="B32">
        <v>2.5089572634358279</v>
      </c>
      <c r="C32" s="5">
        <f t="shared" si="17"/>
        <v>12.2921059472646</v>
      </c>
      <c r="E32" s="5">
        <f t="shared" si="26"/>
        <v>0.14739404430699726</v>
      </c>
      <c r="F32" s="5">
        <f t="shared" si="27"/>
        <v>0.51048905245051746</v>
      </c>
      <c r="G32" s="5">
        <f t="shared" si="28"/>
        <v>3.1301809933232172E-2</v>
      </c>
      <c r="H32" s="5">
        <f t="shared" si="29"/>
        <v>0.31081509330925317</v>
      </c>
      <c r="I32" s="5">
        <f t="shared" si="30"/>
        <v>1</v>
      </c>
      <c r="J32" s="6">
        <f t="shared" si="18"/>
        <v>1.3868834418264047E-2</v>
      </c>
      <c r="K32" s="6">
        <f t="shared" ref="K32:K45" si="33">1/(1+EXP(-(W32-B32)))-J32</f>
        <v>0.12140842093338435</v>
      </c>
      <c r="L32" s="6">
        <f t="shared" si="20"/>
        <v>1.7543597799577343E-2</v>
      </c>
      <c r="M32" s="6">
        <f t="shared" si="21"/>
        <v>0.84717914684877427</v>
      </c>
      <c r="N32" s="5">
        <f t="shared" si="31"/>
        <v>1</v>
      </c>
      <c r="P32" s="6">
        <f t="shared" si="32"/>
        <v>-0.1335252098887332</v>
      </c>
      <c r="Q32" s="6">
        <f t="shared" si="22"/>
        <v>-0.38908063151713312</v>
      </c>
      <c r="R32" s="6">
        <f t="shared" si="23"/>
        <v>-1.3758212133654829E-2</v>
      </c>
      <c r="S32" s="6">
        <f t="shared" si="24"/>
        <v>0.5363640535395211</v>
      </c>
      <c r="T32" s="6">
        <f t="shared" si="25"/>
        <v>0</v>
      </c>
      <c r="V32" s="7">
        <v>-1.755187915671417</v>
      </c>
      <c r="W32" s="7">
        <v>0.65387475003774764</v>
      </c>
      <c r="X32" s="7">
        <v>0.79631142457627413</v>
      </c>
    </row>
    <row r="33" spans="1:24" x14ac:dyDescent="0.2">
      <c r="A33" s="1" t="s">
        <v>9</v>
      </c>
      <c r="B33">
        <v>-0.20007196954220191</v>
      </c>
      <c r="C33" s="5">
        <f t="shared" si="17"/>
        <v>0.81867183152080036</v>
      </c>
      <c r="E33" s="5">
        <f t="shared" si="26"/>
        <v>0.14739404430699726</v>
      </c>
      <c r="F33" s="5">
        <f t="shared" si="27"/>
        <v>0.51048905245051746</v>
      </c>
      <c r="G33" s="5">
        <f t="shared" si="28"/>
        <v>3.1301809933232172E-2</v>
      </c>
      <c r="H33" s="5">
        <f t="shared" si="29"/>
        <v>0.31081509330925317</v>
      </c>
      <c r="I33" s="5">
        <f t="shared" si="30"/>
        <v>1</v>
      </c>
      <c r="J33" s="6">
        <f t="shared" si="18"/>
        <v>0.17434859440717074</v>
      </c>
      <c r="K33" s="6">
        <f t="shared" si="33"/>
        <v>0.52704580665115519</v>
      </c>
      <c r="L33" s="6">
        <f t="shared" si="20"/>
        <v>2.8952515774616217E-2</v>
      </c>
      <c r="M33" s="6">
        <f t="shared" si="21"/>
        <v>0.26965308316705783</v>
      </c>
      <c r="N33" s="5">
        <f t="shared" si="31"/>
        <v>1</v>
      </c>
      <c r="P33" s="6">
        <f t="shared" si="32"/>
        <v>2.6954550100173474E-2</v>
      </c>
      <c r="Q33" s="6">
        <f t="shared" si="22"/>
        <v>1.6556754200637736E-2</v>
      </c>
      <c r="R33" s="6">
        <f t="shared" si="23"/>
        <v>-2.3492941586159555E-3</v>
      </c>
      <c r="S33" s="6">
        <f t="shared" si="24"/>
        <v>-4.1162010142195338E-2</v>
      </c>
      <c r="T33" s="6">
        <f t="shared" si="25"/>
        <v>0</v>
      </c>
      <c r="V33" s="7">
        <v>-1.755187915671417</v>
      </c>
      <c r="W33" s="7">
        <v>0.65387475003774764</v>
      </c>
      <c r="X33" s="7">
        <v>0.79631142457627413</v>
      </c>
    </row>
    <row r="34" spans="1:24" x14ac:dyDescent="0.2">
      <c r="A34" s="1" t="s">
        <v>10</v>
      </c>
      <c r="B34">
        <v>0.1021114792495196</v>
      </c>
      <c r="C34" s="5">
        <f t="shared" si="17"/>
        <v>1.1075069288876198</v>
      </c>
      <c r="E34" s="5">
        <f t="shared" si="26"/>
        <v>0.14739404430699726</v>
      </c>
      <c r="F34" s="5">
        <f t="shared" si="27"/>
        <v>0.51048905245051746</v>
      </c>
      <c r="G34" s="5">
        <f t="shared" si="28"/>
        <v>3.1301809933232172E-2</v>
      </c>
      <c r="H34" s="5">
        <f t="shared" si="29"/>
        <v>0.31081509330925317</v>
      </c>
      <c r="I34" s="5">
        <f t="shared" si="30"/>
        <v>1</v>
      </c>
      <c r="J34" s="6">
        <f t="shared" si="18"/>
        <v>0.13501814010637889</v>
      </c>
      <c r="K34" s="6">
        <f t="shared" si="33"/>
        <v>0.49952644636386634</v>
      </c>
      <c r="L34" s="6">
        <f t="shared" si="20"/>
        <v>3.2355986859326613E-2</v>
      </c>
      <c r="M34" s="6">
        <f t="shared" si="21"/>
        <v>0.33309942667042813</v>
      </c>
      <c r="N34" s="5">
        <f t="shared" si="31"/>
        <v>1</v>
      </c>
      <c r="P34" s="6">
        <f t="shared" si="32"/>
        <v>-1.2375904200618376E-2</v>
      </c>
      <c r="Q34" s="6">
        <f t="shared" si="22"/>
        <v>-1.0962606086651117E-2</v>
      </c>
      <c r="R34" s="6">
        <f t="shared" si="23"/>
        <v>1.0541769260944411E-3</v>
      </c>
      <c r="S34" s="6">
        <f t="shared" si="24"/>
        <v>2.2284333361174968E-2</v>
      </c>
      <c r="T34" s="6">
        <f t="shared" si="25"/>
        <v>0</v>
      </c>
      <c r="V34" s="7">
        <v>-1.755187915671417</v>
      </c>
      <c r="W34" s="7">
        <v>0.65387475003774764</v>
      </c>
      <c r="X34" s="7">
        <v>0.79631142457627413</v>
      </c>
    </row>
    <row r="35" spans="1:24" x14ac:dyDescent="0.2">
      <c r="A35" s="1" t="s">
        <v>11</v>
      </c>
      <c r="B35">
        <v>5.4829523126513208E-2</v>
      </c>
      <c r="C35" s="5">
        <f t="shared" si="17"/>
        <v>1.0563605142867043</v>
      </c>
      <c r="E35" s="5">
        <f t="shared" si="26"/>
        <v>0.14739404430699726</v>
      </c>
      <c r="F35" s="5">
        <f t="shared" si="27"/>
        <v>0.51048905245051746</v>
      </c>
      <c r="G35" s="5">
        <f t="shared" si="28"/>
        <v>3.1301809933232172E-2</v>
      </c>
      <c r="H35" s="5">
        <f t="shared" si="29"/>
        <v>0.31081509330925317</v>
      </c>
      <c r="I35" s="5">
        <f t="shared" si="30"/>
        <v>1</v>
      </c>
      <c r="J35" s="6">
        <f t="shared" si="18"/>
        <v>0.14063601811090778</v>
      </c>
      <c r="K35" s="6">
        <f t="shared" si="33"/>
        <v>0.50480182071357993</v>
      </c>
      <c r="L35" s="6">
        <f t="shared" si="20"/>
        <v>3.1881983427252236E-2</v>
      </c>
      <c r="M35" s="6">
        <f t="shared" si="21"/>
        <v>0.32268017774826008</v>
      </c>
      <c r="N35" s="5">
        <f t="shared" si="31"/>
        <v>1</v>
      </c>
      <c r="P35" s="6">
        <f t="shared" si="32"/>
        <v>-6.7580261960894783E-3</v>
      </c>
      <c r="Q35" s="6">
        <f t="shared" si="22"/>
        <v>-5.6872317369375258E-3</v>
      </c>
      <c r="R35" s="6">
        <f t="shared" si="23"/>
        <v>5.8017349402006424E-4</v>
      </c>
      <c r="S35" s="6">
        <f t="shared" si="24"/>
        <v>1.1865084439006912E-2</v>
      </c>
      <c r="T35" s="6">
        <f t="shared" si="25"/>
        <v>0</v>
      </c>
      <c r="V35" s="7">
        <v>-1.755187915671417</v>
      </c>
      <c r="W35" s="7">
        <v>0.65387475003774764</v>
      </c>
      <c r="X35" s="7">
        <v>0.79631142457627413</v>
      </c>
    </row>
    <row r="36" spans="1:24" x14ac:dyDescent="0.2">
      <c r="A36" s="1" t="s">
        <v>12</v>
      </c>
      <c r="B36">
        <v>6.1196543178012083E-2</v>
      </c>
      <c r="C36" s="5">
        <f t="shared" si="17"/>
        <v>1.0631078402485188</v>
      </c>
      <c r="E36" s="5">
        <f t="shared" si="26"/>
        <v>0.14739404430699726</v>
      </c>
      <c r="F36" s="5">
        <f t="shared" si="27"/>
        <v>0.51048905245051746</v>
      </c>
      <c r="G36" s="5">
        <f t="shared" si="28"/>
        <v>3.1301809933232172E-2</v>
      </c>
      <c r="H36" s="5">
        <f t="shared" si="29"/>
        <v>0.31081509330925317</v>
      </c>
      <c r="I36" s="5">
        <f t="shared" si="30"/>
        <v>1</v>
      </c>
      <c r="J36" s="6">
        <f t="shared" si="18"/>
        <v>0.13986827505281785</v>
      </c>
      <c r="K36" s="6">
        <f t="shared" si="33"/>
        <v>0.50411113943499686</v>
      </c>
      <c r="L36" s="6">
        <f t="shared" si="20"/>
        <v>3.1947278493869247E-2</v>
      </c>
      <c r="M36" s="6">
        <f t="shared" si="21"/>
        <v>0.32407330701831605</v>
      </c>
      <c r="N36" s="5">
        <f t="shared" si="31"/>
        <v>1</v>
      </c>
      <c r="P36" s="6">
        <f t="shared" si="32"/>
        <v>-7.5257692541794152E-3</v>
      </c>
      <c r="Q36" s="6">
        <f t="shared" si="22"/>
        <v>-6.3779130155205976E-3</v>
      </c>
      <c r="R36" s="6">
        <f t="shared" si="23"/>
        <v>6.454685606370747E-4</v>
      </c>
      <c r="S36" s="6">
        <f t="shared" si="24"/>
        <v>1.3258213709062883E-2</v>
      </c>
      <c r="T36" s="6">
        <f t="shared" si="25"/>
        <v>0</v>
      </c>
      <c r="V36" s="7">
        <v>-1.755187915671417</v>
      </c>
      <c r="W36" s="7">
        <v>0.65387475003774764</v>
      </c>
      <c r="X36" s="7">
        <v>0.79631142457627413</v>
      </c>
    </row>
    <row r="37" spans="1:24" x14ac:dyDescent="0.2">
      <c r="A37" s="1" t="s">
        <v>13</v>
      </c>
      <c r="B37">
        <v>0.1217051509195068</v>
      </c>
      <c r="C37" s="5">
        <f t="shared" si="17"/>
        <v>1.1294210439255394</v>
      </c>
      <c r="E37" s="5">
        <f t="shared" si="26"/>
        <v>0.14739404430699726</v>
      </c>
      <c r="F37" s="5">
        <f t="shared" si="27"/>
        <v>0.51048905245051746</v>
      </c>
      <c r="G37" s="5">
        <f t="shared" si="28"/>
        <v>3.1301809933232172E-2</v>
      </c>
      <c r="H37" s="5">
        <f t="shared" si="29"/>
        <v>0.31081509330925317</v>
      </c>
      <c r="I37" s="5">
        <f t="shared" si="30"/>
        <v>1</v>
      </c>
      <c r="J37" s="6">
        <f t="shared" si="18"/>
        <v>0.13274615008640378</v>
      </c>
      <c r="K37" s="6">
        <f t="shared" si="33"/>
        <v>0.49724284411601016</v>
      </c>
      <c r="L37" s="6">
        <f t="shared" si="20"/>
        <v>3.2544818179411461E-2</v>
      </c>
      <c r="M37" s="6">
        <f t="shared" si="21"/>
        <v>0.3374661876181746</v>
      </c>
      <c r="N37" s="5">
        <f t="shared" si="31"/>
        <v>1</v>
      </c>
      <c r="P37" s="6">
        <f t="shared" si="32"/>
        <v>-1.4647894220593483E-2</v>
      </c>
      <c r="Q37" s="6">
        <f t="shared" si="22"/>
        <v>-1.3246208334507292E-2</v>
      </c>
      <c r="R37" s="6">
        <f t="shared" si="23"/>
        <v>1.2430082461792891E-3</v>
      </c>
      <c r="S37" s="6">
        <f t="shared" si="24"/>
        <v>2.665109430892143E-2</v>
      </c>
      <c r="T37" s="6">
        <f t="shared" si="25"/>
        <v>0</v>
      </c>
      <c r="V37" s="7">
        <v>-1.755187915671417</v>
      </c>
      <c r="W37" s="7">
        <v>0.65387475003774764</v>
      </c>
      <c r="X37" s="7">
        <v>0.79631142457627413</v>
      </c>
    </row>
    <row r="38" spans="1:24" x14ac:dyDescent="0.2">
      <c r="A38" s="1" t="s">
        <v>14</v>
      </c>
      <c r="B38">
        <v>0.26507597093899682</v>
      </c>
      <c r="C38" s="5">
        <f t="shared" si="17"/>
        <v>1.3035300024150418</v>
      </c>
      <c r="E38" s="5">
        <f t="shared" si="26"/>
        <v>0.14739404430699726</v>
      </c>
      <c r="F38" s="5">
        <f t="shared" si="27"/>
        <v>0.51048905245051746</v>
      </c>
      <c r="G38" s="5">
        <f t="shared" si="28"/>
        <v>3.1301809933232172E-2</v>
      </c>
      <c r="H38" s="5">
        <f t="shared" si="29"/>
        <v>0.31081509330925317</v>
      </c>
      <c r="I38" s="5">
        <f t="shared" si="30"/>
        <v>1</v>
      </c>
      <c r="J38" s="6">
        <f t="shared" si="18"/>
        <v>0.11709170719425696</v>
      </c>
      <c r="K38" s="6">
        <f t="shared" si="33"/>
        <v>0.47890178921172788</v>
      </c>
      <c r="L38" s="6">
        <f t="shared" si="20"/>
        <v>3.3777719383167315E-2</v>
      </c>
      <c r="M38" s="6">
        <f t="shared" si="21"/>
        <v>0.37022878421084782</v>
      </c>
      <c r="N38" s="5">
        <f t="shared" si="31"/>
        <v>1</v>
      </c>
      <c r="P38" s="6">
        <f t="shared" si="32"/>
        <v>-3.0302337112740302E-2</v>
      </c>
      <c r="Q38" s="6">
        <f t="shared" si="22"/>
        <v>-3.1587263238789576E-2</v>
      </c>
      <c r="R38" s="6">
        <f t="shared" si="23"/>
        <v>2.4759094499351431E-3</v>
      </c>
      <c r="S38" s="6">
        <f t="shared" si="24"/>
        <v>5.9413690901594651E-2</v>
      </c>
      <c r="T38" s="6">
        <f t="shared" si="25"/>
        <v>0</v>
      </c>
      <c r="V38" s="7">
        <v>-1.755187915671417</v>
      </c>
      <c r="W38" s="7">
        <v>0.65387475003774764</v>
      </c>
      <c r="X38" s="7">
        <v>0.79631142457627413</v>
      </c>
    </row>
    <row r="39" spans="1:24" x14ac:dyDescent="0.2">
      <c r="A39" s="1" t="s">
        <v>15</v>
      </c>
      <c r="B39">
        <v>4.2637058417267247E-2</v>
      </c>
      <c r="C39" s="5">
        <f t="shared" si="17"/>
        <v>1.043559075127654</v>
      </c>
      <c r="E39" s="5">
        <f t="shared" si="26"/>
        <v>0.14739404430699726</v>
      </c>
      <c r="F39" s="5">
        <f t="shared" si="27"/>
        <v>0.51048905245051746</v>
      </c>
      <c r="G39" s="5">
        <f t="shared" si="28"/>
        <v>3.1301809933232172E-2</v>
      </c>
      <c r="H39" s="5">
        <f t="shared" si="29"/>
        <v>0.31081509330925317</v>
      </c>
      <c r="I39" s="5">
        <f t="shared" si="30"/>
        <v>1</v>
      </c>
      <c r="J39" s="6">
        <f t="shared" si="18"/>
        <v>0.14211603567310468</v>
      </c>
      <c r="K39" s="6">
        <f t="shared" si="33"/>
        <v>0.50610704887523661</v>
      </c>
      <c r="L39" s="6">
        <f t="shared" si="20"/>
        <v>3.1755712958914772E-2</v>
      </c>
      <c r="M39" s="6">
        <f t="shared" si="21"/>
        <v>0.32002120249274391</v>
      </c>
      <c r="N39" s="5">
        <f t="shared" si="31"/>
        <v>1</v>
      </c>
      <c r="P39" s="6">
        <f t="shared" si="32"/>
        <v>-5.278008633892578E-3</v>
      </c>
      <c r="Q39" s="6">
        <f t="shared" si="22"/>
        <v>-4.3820035752808462E-3</v>
      </c>
      <c r="R39" s="6">
        <f t="shared" si="23"/>
        <v>4.5390302568260044E-4</v>
      </c>
      <c r="S39" s="6">
        <f t="shared" si="24"/>
        <v>9.2061091834907405E-3</v>
      </c>
      <c r="T39" s="6">
        <f t="shared" si="25"/>
        <v>0</v>
      </c>
      <c r="V39" s="7">
        <v>-1.755187915671417</v>
      </c>
      <c r="W39" s="7">
        <v>0.65387475003774764</v>
      </c>
      <c r="X39" s="7">
        <v>0.79631142457627413</v>
      </c>
    </row>
    <row r="40" spans="1:24" x14ac:dyDescent="0.2">
      <c r="A40" s="1" t="s">
        <v>16</v>
      </c>
      <c r="B40">
        <v>-4.2254883684093043E-3</v>
      </c>
      <c r="C40" s="5">
        <f t="shared" si="17"/>
        <v>0.99578342644666384</v>
      </c>
      <c r="E40" s="5">
        <f t="shared" si="26"/>
        <v>0.14739404430699726</v>
      </c>
      <c r="F40" s="5">
        <f t="shared" si="27"/>
        <v>0.51048905245051746</v>
      </c>
      <c r="G40" s="5">
        <f t="shared" si="28"/>
        <v>3.1301809933232172E-2</v>
      </c>
      <c r="H40" s="5">
        <f t="shared" si="29"/>
        <v>0.31081509330925317</v>
      </c>
      <c r="I40" s="5">
        <f t="shared" si="30"/>
        <v>1</v>
      </c>
      <c r="J40" s="6">
        <f t="shared" si="18"/>
        <v>0.14792584893548574</v>
      </c>
      <c r="K40" s="6">
        <f t="shared" si="33"/>
        <v>0.51090765539777128</v>
      </c>
      <c r="L40" s="6">
        <f t="shared" si="20"/>
        <v>3.1255815963084244E-2</v>
      </c>
      <c r="M40" s="6">
        <f t="shared" si="21"/>
        <v>0.30991067970365871</v>
      </c>
      <c r="N40" s="5">
        <f t="shared" si="31"/>
        <v>1</v>
      </c>
      <c r="P40" s="6">
        <f t="shared" si="32"/>
        <v>5.3180462848848031E-4</v>
      </c>
      <c r="Q40" s="6">
        <f t="shared" si="22"/>
        <v>4.1860294725382108E-4</v>
      </c>
      <c r="R40" s="6">
        <f t="shared" si="23"/>
        <v>-4.5993970147928387E-5</v>
      </c>
      <c r="S40" s="6">
        <f t="shared" si="24"/>
        <v>-9.0441360559445627E-4</v>
      </c>
      <c r="T40" s="6">
        <f t="shared" si="25"/>
        <v>0</v>
      </c>
      <c r="V40" s="7">
        <v>-1.755187915671417</v>
      </c>
      <c r="W40" s="7">
        <v>0.65387475003774764</v>
      </c>
      <c r="X40" s="7">
        <v>0.79631142457627413</v>
      </c>
    </row>
    <row r="41" spans="1:24" x14ac:dyDescent="0.2">
      <c r="A41" s="1" t="s">
        <v>17</v>
      </c>
      <c r="B41">
        <v>0.29135208887410607</v>
      </c>
      <c r="C41" s="5">
        <f t="shared" si="17"/>
        <v>1.3382356789049967</v>
      </c>
      <c r="E41" s="5">
        <f t="shared" si="26"/>
        <v>0.14739404430699726</v>
      </c>
      <c r="F41" s="5">
        <f t="shared" si="27"/>
        <v>0.51048905245051746</v>
      </c>
      <c r="G41" s="5">
        <f t="shared" si="28"/>
        <v>3.1301809933232172E-2</v>
      </c>
      <c r="H41" s="5">
        <f t="shared" si="29"/>
        <v>0.31081509330925317</v>
      </c>
      <c r="I41" s="5">
        <f t="shared" si="30"/>
        <v>1</v>
      </c>
      <c r="J41" s="6">
        <f t="shared" si="18"/>
        <v>0.11440246170778465</v>
      </c>
      <c r="K41" s="6">
        <f t="shared" si="33"/>
        <v>0.47524850002254049</v>
      </c>
      <c r="L41" s="6">
        <f t="shared" si="20"/>
        <v>3.3973122010395373E-2</v>
      </c>
      <c r="M41" s="6">
        <f t="shared" si="21"/>
        <v>0.37637591625927946</v>
      </c>
      <c r="N41" s="5">
        <f t="shared" si="31"/>
        <v>1</v>
      </c>
      <c r="P41" s="6">
        <f t="shared" si="32"/>
        <v>-3.2991582599212615E-2</v>
      </c>
      <c r="Q41" s="6">
        <f t="shared" si="22"/>
        <v>-3.5240552427976968E-2</v>
      </c>
      <c r="R41" s="6">
        <f t="shared" si="23"/>
        <v>2.6713120771632015E-3</v>
      </c>
      <c r="S41" s="6">
        <f t="shared" si="24"/>
        <v>6.5560822950026298E-2</v>
      </c>
      <c r="T41" s="6">
        <f t="shared" si="25"/>
        <v>0</v>
      </c>
      <c r="V41" s="7">
        <v>-1.755187915671417</v>
      </c>
      <c r="W41" s="7">
        <v>0.65387475003774764</v>
      </c>
      <c r="X41" s="7">
        <v>0.79631142457627413</v>
      </c>
    </row>
    <row r="42" spans="1:24" x14ac:dyDescent="0.2">
      <c r="A42" s="1" t="s">
        <v>18</v>
      </c>
      <c r="B42">
        <v>0.19230420817735849</v>
      </c>
      <c r="C42" s="5">
        <f t="shared" si="17"/>
        <v>1.2120391731156903</v>
      </c>
      <c r="E42" s="5">
        <f t="shared" si="26"/>
        <v>0.14739404430699726</v>
      </c>
      <c r="F42" s="5">
        <f t="shared" si="27"/>
        <v>0.51048905245051746</v>
      </c>
      <c r="G42" s="5">
        <f t="shared" si="28"/>
        <v>3.1301809933232172E-2</v>
      </c>
      <c r="H42" s="5">
        <f t="shared" si="29"/>
        <v>0.31081509330925317</v>
      </c>
      <c r="I42" s="5">
        <f t="shared" si="30"/>
        <v>1</v>
      </c>
      <c r="J42" s="6">
        <f t="shared" si="18"/>
        <v>0.12482707412966741</v>
      </c>
      <c r="K42" s="6">
        <f t="shared" si="33"/>
        <v>0.4885596119990514</v>
      </c>
      <c r="L42" s="6">
        <f t="shared" si="20"/>
        <v>3.3185872036589514E-2</v>
      </c>
      <c r="M42" s="6">
        <f t="shared" si="21"/>
        <v>0.35342744183469166</v>
      </c>
      <c r="N42" s="5">
        <f t="shared" si="31"/>
        <v>1</v>
      </c>
      <c r="P42" s="6">
        <f t="shared" si="32"/>
        <v>-2.2566970177329851E-2</v>
      </c>
      <c r="Q42" s="6">
        <f t="shared" si="22"/>
        <v>-2.1929440451466053E-2</v>
      </c>
      <c r="R42" s="6">
        <f t="shared" si="23"/>
        <v>1.8840621033573424E-3</v>
      </c>
      <c r="S42" s="6">
        <f t="shared" si="24"/>
        <v>4.2612348525438493E-2</v>
      </c>
      <c r="T42" s="6">
        <f t="shared" si="25"/>
        <v>0</v>
      </c>
      <c r="V42" s="7">
        <v>-1.755187915671417</v>
      </c>
      <c r="W42" s="7">
        <v>0.65387475003774764</v>
      </c>
      <c r="X42" s="7">
        <v>0.79631142457627413</v>
      </c>
    </row>
    <row r="43" spans="1:24" x14ac:dyDescent="0.2">
      <c r="A43" s="1" t="s">
        <v>19</v>
      </c>
      <c r="B43">
        <v>0.71437519584522668</v>
      </c>
      <c r="C43" s="5">
        <f t="shared" si="17"/>
        <v>2.0429098648482977</v>
      </c>
      <c r="E43" s="5">
        <f t="shared" si="26"/>
        <v>0.14739404430699726</v>
      </c>
      <c r="F43" s="5">
        <f t="shared" si="27"/>
        <v>0.51048905245051746</v>
      </c>
      <c r="G43" s="5">
        <f t="shared" si="28"/>
        <v>3.1301809933232172E-2</v>
      </c>
      <c r="H43" s="5">
        <f t="shared" si="29"/>
        <v>0.31081509330925317</v>
      </c>
      <c r="I43" s="5">
        <f t="shared" si="30"/>
        <v>1</v>
      </c>
      <c r="J43" s="6">
        <f t="shared" si="18"/>
        <v>7.801965585597348E-2</v>
      </c>
      <c r="K43" s="6">
        <f t="shared" si="33"/>
        <v>0.40685984454617574</v>
      </c>
      <c r="L43" s="6">
        <f t="shared" si="20"/>
        <v>3.5593104414854748E-2</v>
      </c>
      <c r="M43" s="6">
        <f t="shared" si="21"/>
        <v>0.47952739518299603</v>
      </c>
      <c r="N43" s="5">
        <f t="shared" si="31"/>
        <v>1</v>
      </c>
      <c r="P43" s="6">
        <f t="shared" si="32"/>
        <v>-6.9374388451023783E-2</v>
      </c>
      <c r="Q43" s="6">
        <f t="shared" si="22"/>
        <v>-0.10362920790434171</v>
      </c>
      <c r="R43" s="6">
        <f t="shared" si="23"/>
        <v>4.2912944816225762E-3</v>
      </c>
      <c r="S43" s="6">
        <f t="shared" si="24"/>
        <v>0.16871230187374286</v>
      </c>
      <c r="T43" s="6">
        <f t="shared" si="25"/>
        <v>0</v>
      </c>
      <c r="V43" s="7">
        <v>-1.755187915671417</v>
      </c>
      <c r="W43" s="7">
        <v>0.65387475003774764</v>
      </c>
      <c r="X43" s="7">
        <v>0.79631142457627413</v>
      </c>
    </row>
    <row r="44" spans="1:24" x14ac:dyDescent="0.2">
      <c r="A44" s="1" t="s">
        <v>20</v>
      </c>
      <c r="B44">
        <v>0.21444315211850601</v>
      </c>
      <c r="C44" s="5">
        <f t="shared" si="17"/>
        <v>1.2391716746876333</v>
      </c>
      <c r="E44" s="5">
        <f t="shared" si="26"/>
        <v>0.14739404430699726</v>
      </c>
      <c r="F44" s="5">
        <f t="shared" si="27"/>
        <v>0.51048905245051746</v>
      </c>
      <c r="G44" s="5">
        <f t="shared" si="28"/>
        <v>3.1301809933232172E-2</v>
      </c>
      <c r="H44" s="5">
        <f t="shared" si="29"/>
        <v>0.31081509330925317</v>
      </c>
      <c r="I44" s="5">
        <f t="shared" si="30"/>
        <v>1</v>
      </c>
      <c r="J44" s="6">
        <f t="shared" si="18"/>
        <v>0.12242851929622769</v>
      </c>
      <c r="K44" s="6">
        <f t="shared" si="33"/>
        <v>0.48569506428151754</v>
      </c>
      <c r="L44" s="6">
        <f t="shared" si="20"/>
        <v>3.3373598831570428E-2</v>
      </c>
      <c r="M44" s="6">
        <f t="shared" si="21"/>
        <v>0.35850281759068436</v>
      </c>
      <c r="N44" s="5">
        <f t="shared" si="31"/>
        <v>1</v>
      </c>
      <c r="P44" s="6">
        <f t="shared" si="32"/>
        <v>-2.4965525010769568E-2</v>
      </c>
      <c r="Q44" s="6">
        <f t="shared" si="22"/>
        <v>-2.4793988168999914E-2</v>
      </c>
      <c r="R44" s="6">
        <f t="shared" si="23"/>
        <v>2.071788898338256E-3</v>
      </c>
      <c r="S44" s="6">
        <f t="shared" si="24"/>
        <v>4.7687724281431199E-2</v>
      </c>
      <c r="T44" s="6">
        <f t="shared" si="25"/>
        <v>0</v>
      </c>
      <c r="V44" s="7">
        <v>-1.755187915671417</v>
      </c>
      <c r="W44" s="7">
        <v>0.65387475003774764</v>
      </c>
      <c r="X44" s="7">
        <v>0.79631142457627413</v>
      </c>
    </row>
    <row r="45" spans="1:24" x14ac:dyDescent="0.2">
      <c r="E45" s="5"/>
      <c r="F45" s="5"/>
      <c r="G45" s="5"/>
      <c r="H45" s="5"/>
      <c r="I45" s="5"/>
      <c r="J45" s="6"/>
      <c r="K45" s="6"/>
      <c r="L45" s="6"/>
      <c r="M45" s="6"/>
      <c r="N45" s="5"/>
      <c r="P45" s="6"/>
      <c r="Q45" s="6"/>
      <c r="R45" s="6"/>
      <c r="S45" s="6"/>
      <c r="T45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Calculalated Marginal 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2025-11-06T08:05:17Z</dcterms:created>
  <dcterms:modified xsi:type="dcterms:W3CDTF">2025-11-06T17:36:54Z</dcterms:modified>
</cp:coreProperties>
</file>