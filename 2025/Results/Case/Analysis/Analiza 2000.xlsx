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Analysis/"/>
    </mc:Choice>
  </mc:AlternateContent>
  <xr:revisionPtr revIDLastSave="14" documentId="8_{CB6623DB-AF61-E046-90FE-E613F780FB2A}" xr6:coauthVersionLast="47" xr6:coauthVersionMax="47" xr10:uidLastSave="{08CA8C33-1E58-A741-8053-0B296887F3B7}"/>
  <bookViews>
    <workbookView xWindow="0" yWindow="700" windowWidth="34200" windowHeight="19980" xr2:uid="{801278A7-B9F9-449B-BF1F-A5CA58605999}"/>
  </bookViews>
  <sheets>
    <sheet name="Blok 1" sheetId="29" r:id="rId1"/>
    <sheet name="Blok 2" sheetId="30" r:id="rId2"/>
    <sheet name="Blok 3" sheetId="31" r:id="rId3"/>
    <sheet name="Blok 4" sheetId="32" r:id="rId4"/>
    <sheet name="Progi odporności" sheetId="33" r:id="rId5"/>
    <sheet name="Inflacja" sheetId="3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4" l="1"/>
  <c r="E18" i="34"/>
  <c r="F18" i="34"/>
  <c r="F19" i="34" s="1"/>
  <c r="G18" i="34"/>
  <c r="G19" i="34" s="1"/>
  <c r="G14" i="34"/>
  <c r="F14" i="34"/>
  <c r="G11" i="34"/>
  <c r="E6" i="34"/>
  <c r="F6" i="34" s="1"/>
  <c r="G6" i="34" s="1"/>
</calcChain>
</file>

<file path=xl/sharedStrings.xml><?xml version="1.0" encoding="utf-8"?>
<sst xmlns="http://schemas.openxmlformats.org/spreadsheetml/2006/main" count="136" uniqueCount="78">
  <si>
    <t>0-10</t>
  </si>
  <si>
    <t>50-75</t>
  </si>
  <si>
    <t>10-25</t>
  </si>
  <si>
    <t>75-100</t>
  </si>
  <si>
    <t>25-50</t>
  </si>
  <si>
    <t>Liczba firm</t>
  </si>
  <si>
    <t>Rok</t>
  </si>
  <si>
    <t>Razem</t>
  </si>
  <si>
    <t>Podstawowe wskaźniki ekonomiczne firm w 2023 (wartości średnie)</t>
  </si>
  <si>
    <t xml:space="preserve">Firmy krajowe </t>
  </si>
  <si>
    <t>Firmy zagraniczne</t>
  </si>
  <si>
    <t>ROS</t>
  </si>
  <si>
    <t>%</t>
  </si>
  <si>
    <t>ROA</t>
  </si>
  <si>
    <t>ROE</t>
  </si>
  <si>
    <t>Struktura firm  weług typów odporności na skutki COVID-19</t>
  </si>
  <si>
    <t>N1</t>
  </si>
  <si>
    <t>N2</t>
  </si>
  <si>
    <t>R1</t>
  </si>
  <si>
    <t>R2</t>
  </si>
  <si>
    <t>Przychody ze sprzedaży 2023 mld</t>
  </si>
  <si>
    <t>Eksport 2023 mld</t>
  </si>
  <si>
    <t>Trajektorie wzrostu/spadku  przychodów ze sprzedaży czołówki polskich firm 2019 - 2023 (2019  = 100)</t>
  </si>
  <si>
    <t>( w cenach stałych z 2019)</t>
  </si>
  <si>
    <t>Spadek w cenach stałych</t>
  </si>
  <si>
    <t>Wzrost w cenach stałych</t>
  </si>
  <si>
    <t>Dynamika w cenach stałych i zmiennych</t>
  </si>
  <si>
    <t>Spadek w cenach bieżących</t>
  </si>
  <si>
    <t>Umiarkowany wzrost w cenach stałych</t>
  </si>
  <si>
    <t>Status gazeli</t>
  </si>
  <si>
    <t>Przedział dynamiki w cenach bieżących</t>
  </si>
  <si>
    <t>Przedział dynamiki w cenach stałych</t>
  </si>
  <si>
    <t>Wzrost w cenach bieżących</t>
  </si>
  <si>
    <t>Typ odporności</t>
  </si>
  <si>
    <t>Zagraniczne</t>
  </si>
  <si>
    <t xml:space="preserve">Krajowe </t>
  </si>
  <si>
    <t>*Intensywność eksportu - relacja eksportu do przychodów ze sprzedaży w %</t>
  </si>
  <si>
    <t>Przedziały intensywności eksportu*</t>
  </si>
  <si>
    <t>Struktura firm  według intensywności eksportu (dane 2023)</t>
  </si>
  <si>
    <t>Miara</t>
  </si>
  <si>
    <t xml:space="preserve">Sposóp pomiaru </t>
  </si>
  <si>
    <t>Interpretacja</t>
  </si>
  <si>
    <t>Rentowność sprzedaży (ROS)</t>
  </si>
  <si>
    <t>Rentowność aktywów (ROA)</t>
  </si>
  <si>
    <t>Rentowność kapitału własnego (ROE)</t>
  </si>
  <si>
    <t xml:space="preserve">Wynik finansowy (zysk) netto/ Przychody ze sprzedaży </t>
  </si>
  <si>
    <t>Wynik finansowy (zysk) netto/ Aktywa</t>
  </si>
  <si>
    <t xml:space="preserve">Wynik finansowy (zysk) netto/ Kapitał własny </t>
  </si>
  <si>
    <t>Produktywność pracy</t>
  </si>
  <si>
    <t>Wyposażenie w kapitał ludzki</t>
  </si>
  <si>
    <t>Wyposażenie techniczne</t>
  </si>
  <si>
    <t>Wynagrodzenia na 1 zatrudnionego</t>
  </si>
  <si>
    <t>Środki trwałe na 1 zatrudnionego</t>
  </si>
  <si>
    <t>Przychody ze sprzedaży na 1 zatrudnionego*</t>
  </si>
  <si>
    <t>* definicja uproszczona</t>
  </si>
  <si>
    <t xml:space="preserve">Produktywność pracy </t>
  </si>
  <si>
    <t xml:space="preserve">Wyposażenie techniczne </t>
  </si>
  <si>
    <t>tys.</t>
  </si>
  <si>
    <t>Miernik</t>
  </si>
  <si>
    <t xml:space="preserve">Miernik </t>
  </si>
  <si>
    <t>Opis</t>
  </si>
  <si>
    <t>Firma wykazuje pewien wzrost sprzedaży ale to nie rekompensuje wzrostu kosztów</t>
  </si>
  <si>
    <t>Spadek w cenach bieżących widoczny w sprawozdaniach finansowych. Negatywny efekt wizerunkowy.  Wzrost inflacyjny kosztów działalności.</t>
  </si>
  <si>
    <t>Firma wykazuje umiarkowaną odporność na kryzys zwązany z pandemią COVID-19</t>
  </si>
  <si>
    <t>Firma utrzymuje status gazeli w trakcie pandemii. Przejaw szczególnej odporności na kryzys.</t>
  </si>
  <si>
    <t>Krajowe</t>
  </si>
  <si>
    <t>Typy odporności</t>
  </si>
  <si>
    <t>Inflacja w Polsce rok do roku</t>
  </si>
  <si>
    <t>Kumulatywnie</t>
  </si>
  <si>
    <t>&gt;= 2,0736</t>
  </si>
  <si>
    <t>&lt; 0</t>
  </si>
  <si>
    <t>&gt;= 1,3859 &lt; 2,0736</t>
  </si>
  <si>
    <t>&gt;= 0 &lt; 1.3859</t>
  </si>
  <si>
    <t>Annualised Inflation</t>
  </si>
  <si>
    <t>&gt;= 1,5456</t>
  </si>
  <si>
    <t>&gt;= 1 &lt; 1,5456</t>
  </si>
  <si>
    <t>&gt;= 0,7009 &lt; 1</t>
  </si>
  <si>
    <t>&lt; 0,7009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</si>
</sst>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)_ ;_ * \(#,##0.00\)_ ;_ * &quot;-&quot;??_)_ ;_ @_ "/>
    <numFmt numFmtId="164" formatCode="_ * #,##0_)_ ;_ * \(#,##0\)_ ;_ * &quot;-&quot;??_)_ ;_ @_ "/>
    <numFmt numFmtId="165" formatCode="_ * #,##0.0_)_ ;_ * \(#,##0.0\)_ ;_ * &quot;-&quot;??_)_ ;_ @_ "/>
    <numFmt numFmtId="166" formatCode="0.0%"/>
    <numFmt numFmtId="167" formatCode="0.000"/>
    <numFmt numFmtId="168" formatCode="_ * #,##0.000_)_ ;_ * \(#,##0.000\)_ ;_ * &quot;-&quot;??_)_ ;_ @_ "/>
    <numFmt numFmtId="169" formatCode="0.0000"/>
    <numFmt numFmtId="170" formatCode="_ * #,##0.000_)\ _P_L_N_ ;_ * \(#,##0.000\)\ _P_L_N_ ;_ * &quot;-&quot;???_)\ _P_L_N_ ;_ @_ "/>
    <numFmt numFmtId="171" formatCode="_ * #,##0.0000_)_ ;_ * \(#,##0.0000\)_ ;_ * &quot;-&quot;??_)_ ;_ @_ "/>
  </numFmts>
  <fonts count="18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  <charset val="238"/>
    </font>
    <font>
      <b/>
      <sz val="12"/>
      <color rgb="FF000000"/>
      <name val="Aptos Narrow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9" fillId="0" borderId="0"/>
    <xf numFmtId="43" fontId="3" fillId="0" borderId="0" applyFont="0" applyFill="0" applyBorder="0" applyAlignment="0" applyProtection="0"/>
  </cellStyleXfs>
  <cellXfs count="47">
    <xf numFmtId="0" fontId="0" fillId="0" borderId="0" xfId="0"/>
    <xf numFmtId="0" fontId="8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/>
    <xf numFmtId="166" fontId="0" fillId="0" borderId="1" xfId="10" applyNumberFormat="1" applyFont="1" applyBorder="1"/>
    <xf numFmtId="165" fontId="0" fillId="0" borderId="1" xfId="13" applyNumberFormat="1" applyFont="1" applyBorder="1"/>
    <xf numFmtId="0" fontId="11" fillId="0" borderId="1" xfId="0" applyFont="1" applyBorder="1"/>
    <xf numFmtId="0" fontId="8" fillId="0" borderId="1" xfId="0" applyFont="1" applyBorder="1"/>
    <xf numFmtId="165" fontId="8" fillId="0" borderId="1" xfId="13" applyNumberFormat="1" applyFont="1" applyBorder="1"/>
    <xf numFmtId="9" fontId="0" fillId="0" borderId="1" xfId="10" applyFont="1" applyBorder="1"/>
    <xf numFmtId="9" fontId="0" fillId="0" borderId="1" xfId="0" applyNumberFormat="1" applyBorder="1"/>
    <xf numFmtId="9" fontId="8" fillId="0" borderId="1" xfId="10" applyFont="1" applyBorder="1"/>
    <xf numFmtId="9" fontId="8" fillId="0" borderId="1" xfId="0" applyNumberFormat="1" applyFont="1" applyBorder="1"/>
    <xf numFmtId="0" fontId="14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 vertical="center"/>
    </xf>
    <xf numFmtId="2" fontId="12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12" fillId="0" borderId="0" xfId="0" applyFont="1"/>
    <xf numFmtId="0" fontId="10" fillId="0" borderId="0" xfId="11"/>
    <xf numFmtId="0" fontId="16" fillId="0" borderId="1" xfId="11" applyFont="1" applyBorder="1" applyAlignment="1">
      <alignment horizontal="center" vertical="center" wrapText="1"/>
    </xf>
    <xf numFmtId="0" fontId="16" fillId="0" borderId="1" xfId="1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9" xfId="0" applyBorder="1"/>
    <xf numFmtId="0" fontId="8" fillId="0" borderId="1" xfId="0" applyFont="1" applyBorder="1" applyAlignment="1">
      <alignment wrapText="1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7" fillId="0" borderId="1" xfId="11" applyFont="1" applyBorder="1" applyAlignment="1">
      <alignment horizontal="center" vertical="center" wrapText="1"/>
    </xf>
    <xf numFmtId="0" fontId="12" fillId="0" borderId="1" xfId="0" applyFont="1" applyBorder="1"/>
    <xf numFmtId="0" fontId="7" fillId="0" borderId="1" xfId="11" applyFont="1" applyBorder="1" applyAlignment="1">
      <alignment vertical="center" wrapText="1"/>
    </xf>
    <xf numFmtId="166" fontId="7" fillId="0" borderId="1" xfId="10" applyNumberFormat="1" applyFont="1" applyFill="1" applyBorder="1" applyAlignment="1">
      <alignment vertical="center"/>
    </xf>
    <xf numFmtId="166" fontId="7" fillId="0" borderId="1" xfId="10" applyNumberFormat="1" applyFont="1" applyFill="1" applyBorder="1" applyAlignment="1">
      <alignment horizontal="right" vertical="center"/>
    </xf>
    <xf numFmtId="167" fontId="0" fillId="0" borderId="1" xfId="0" applyNumberFormat="1" applyBorder="1"/>
    <xf numFmtId="10" fontId="0" fillId="0" borderId="0" xfId="0" applyNumberFormat="1"/>
    <xf numFmtId="9" fontId="0" fillId="0" borderId="0" xfId="0" applyNumberFormat="1"/>
    <xf numFmtId="168" fontId="0" fillId="0" borderId="0" xfId="13" applyNumberFormat="1" applyFont="1"/>
    <xf numFmtId="169" fontId="0" fillId="0" borderId="0" xfId="0" applyNumberFormat="1"/>
    <xf numFmtId="170" fontId="0" fillId="0" borderId="0" xfId="0" applyNumberFormat="1"/>
    <xf numFmtId="171" fontId="0" fillId="0" borderId="0" xfId="13" applyNumberFormat="1" applyFont="1"/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</cellXfs>
  <cellStyles count="14">
    <cellStyle name="Comma" xfId="13" builtinId="3"/>
    <cellStyle name="Hiperłącze 2" xfId="3" xr:uid="{803C28F9-9662-4255-8503-9316F90BA1DE}"/>
    <cellStyle name="Hiperłącze 3" xfId="2" xr:uid="{432B0BC3-6D94-4ACC-A652-D02F93BE97E7}"/>
    <cellStyle name="Normal" xfId="0" builtinId="0"/>
    <cellStyle name="Normal 2" xfId="11" xr:uid="{1DA3765D-A117-E14D-B09A-3074745BF868}"/>
    <cellStyle name="Normal 3" xfId="12" xr:uid="{CD65A36B-8D27-AE40-B966-7D1B3949A68F}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er cent" xfId="10" builtinId="5"/>
    <cellStyle name="Procentowy 2" xfId="9" xr:uid="{F26199D5-3CEB-40B5-A506-A2D5AF0535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0-10</c:v>
              </c:pt>
              <c:pt idx="1">
                <c:v>10-25</c:v>
              </c:pt>
              <c:pt idx="2">
                <c:v>25-50</c:v>
              </c:pt>
              <c:pt idx="3">
                <c:v>50-75</c:v>
              </c:pt>
              <c:pt idx="4">
                <c:v>75-100</c:v>
              </c:pt>
            </c:strLit>
          </c:cat>
          <c:val>
            <c:numLit>
              <c:formatCode>General</c:formatCode>
              <c:ptCount val="5"/>
              <c:pt idx="0">
                <c:v>1125069501.7768724</c:v>
              </c:pt>
              <c:pt idx="1">
                <c:v>221201919.90906999</c:v>
              </c:pt>
              <c:pt idx="2">
                <c:v>216823051.33495599</c:v>
              </c:pt>
              <c:pt idx="3">
                <c:v>187917189.21434003</c:v>
              </c:pt>
              <c:pt idx="4">
                <c:v>85287265.11985001</c:v>
              </c:pt>
            </c:numLit>
          </c:val>
          <c:extLst>
            <c:ext xmlns:c16="http://schemas.microsoft.com/office/drawing/2014/chart" uri="{C3380CC4-5D6E-409C-BE32-E72D297353CC}">
              <c16:uniqueId val="{00000000-62DA-EA4F-AC4C-2137443C7A38}"/>
            </c:ext>
          </c:extLst>
        </c:ser>
        <c:ser>
          <c:idx val="1"/>
          <c:order val="1"/>
          <c:tx>
            <c:v>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0-10</c:v>
              </c:pt>
              <c:pt idx="1">
                <c:v>10-25</c:v>
              </c:pt>
              <c:pt idx="2">
                <c:v>25-50</c:v>
              </c:pt>
              <c:pt idx="3">
                <c:v>50-75</c:v>
              </c:pt>
              <c:pt idx="4">
                <c:v>75-100</c:v>
              </c:pt>
            </c:strLit>
          </c:cat>
          <c:val>
            <c:numLit>
              <c:formatCode>General</c:formatCode>
              <c:ptCount val="5"/>
              <c:pt idx="0">
                <c:v>743272539.71386933</c:v>
              </c:pt>
              <c:pt idx="1">
                <c:v>169024192.50038001</c:v>
              </c:pt>
              <c:pt idx="2">
                <c:v>204595301.93760994</c:v>
              </c:pt>
              <c:pt idx="3">
                <c:v>157103865.60360003</c:v>
              </c:pt>
              <c:pt idx="4">
                <c:v>407735988.89009994</c:v>
              </c:pt>
            </c:numLit>
          </c:val>
          <c:extLst>
            <c:ext xmlns:c16="http://schemas.microsoft.com/office/drawing/2014/chart" uri="{C3380CC4-5D6E-409C-BE32-E72D297353CC}">
              <c16:uniqueId val="{00000001-62DA-EA4F-AC4C-2137443C7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18980224"/>
        <c:axId val="1618973504"/>
      </c:barChart>
      <c:catAx>
        <c:axId val="16189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73504"/>
        <c:crosses val="autoZero"/>
        <c:auto val="1"/>
        <c:lblAlgn val="ctr"/>
        <c:lblOffset val="100"/>
        <c:noMultiLvlLbl val="0"/>
      </c:catAx>
      <c:valAx>
        <c:axId val="16189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0-10</c:v>
              </c:pt>
              <c:pt idx="1">
                <c:v>10-25</c:v>
              </c:pt>
              <c:pt idx="2">
                <c:v>25-50</c:v>
              </c:pt>
              <c:pt idx="3">
                <c:v>50-75</c:v>
              </c:pt>
              <c:pt idx="4">
                <c:v>75-100</c:v>
              </c:pt>
            </c:strLit>
          </c:cat>
          <c:val>
            <c:numLit>
              <c:formatCode>General</c:formatCode>
              <c:ptCount val="5"/>
              <c:pt idx="0">
                <c:v>9089952.9820099995</c:v>
              </c:pt>
              <c:pt idx="1">
                <c:v>38880591.002809994</c:v>
              </c:pt>
              <c:pt idx="2">
                <c:v>80402931.199510008</c:v>
              </c:pt>
              <c:pt idx="3">
                <c:v>117178287.47353053</c:v>
              </c:pt>
              <c:pt idx="4">
                <c:v>74532013.361540005</c:v>
              </c:pt>
            </c:numLit>
          </c:val>
          <c:extLst>
            <c:ext xmlns:c16="http://schemas.microsoft.com/office/drawing/2014/chart" uri="{C3380CC4-5D6E-409C-BE32-E72D297353CC}">
              <c16:uniqueId val="{00000000-6F6A-B947-8970-5FE41FB7641D}"/>
            </c:ext>
          </c:extLst>
        </c:ser>
        <c:ser>
          <c:idx val="1"/>
          <c:order val="1"/>
          <c:tx>
            <c:v>F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0-10</c:v>
              </c:pt>
              <c:pt idx="1">
                <c:v>10-25</c:v>
              </c:pt>
              <c:pt idx="2">
                <c:v>25-50</c:v>
              </c:pt>
              <c:pt idx="3">
                <c:v>50-75</c:v>
              </c:pt>
              <c:pt idx="4">
                <c:v>75-100</c:v>
              </c:pt>
            </c:strLit>
          </c:cat>
          <c:val>
            <c:numLit>
              <c:formatCode>General</c:formatCode>
              <c:ptCount val="5"/>
              <c:pt idx="0">
                <c:v>8303838.8714494901</c:v>
              </c:pt>
              <c:pt idx="1">
                <c:v>28854221.690465827</c:v>
              </c:pt>
              <c:pt idx="2">
                <c:v>74089629.243699998</c:v>
              </c:pt>
              <c:pt idx="3">
                <c:v>99559191.601540014</c:v>
              </c:pt>
              <c:pt idx="4">
                <c:v>371592432.73782492</c:v>
              </c:pt>
            </c:numLit>
          </c:val>
          <c:extLst>
            <c:ext xmlns:c16="http://schemas.microsoft.com/office/drawing/2014/chart" uri="{C3380CC4-5D6E-409C-BE32-E72D297353CC}">
              <c16:uniqueId val="{00000001-6F6A-B947-8970-5FE41FB76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2827392"/>
        <c:axId val="1602822016"/>
      </c:barChart>
      <c:catAx>
        <c:axId val="16028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2016"/>
        <c:crosses val="autoZero"/>
        <c:auto val="1"/>
        <c:lblAlgn val="ctr"/>
        <c:lblOffset val="100"/>
        <c:noMultiLvlLbl val="0"/>
      </c:catAx>
      <c:valAx>
        <c:axId val="16028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</a:t>
            </a:r>
            <a:r>
              <a:rPr lang="en-GB" baseline="0"/>
              <a:t>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'Blok 1'!$A$7</c:f>
              <c:strCache>
                <c:ptCount val="1"/>
                <c:pt idx="0">
                  <c:v>Krajowe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1'!$B$5:$F$5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1'!$B$7:$F$7</c:f>
              <c:numCache>
                <c:formatCode>General</c:formatCode>
                <c:ptCount val="5"/>
                <c:pt idx="0">
                  <c:v>533</c:v>
                </c:pt>
                <c:pt idx="1">
                  <c:v>106</c:v>
                </c:pt>
                <c:pt idx="2">
                  <c:v>139</c:v>
                </c:pt>
                <c:pt idx="3">
                  <c:v>96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A-DC40-AA1B-6683F2BAC171}"/>
            </c:ext>
          </c:extLst>
        </c:ser>
        <c:ser>
          <c:idx val="0"/>
          <c:order val="1"/>
          <c:tx>
            <c:strRef>
              <c:f>'Blok 1'!$A$6</c:f>
              <c:strCache>
                <c:ptCount val="1"/>
                <c:pt idx="0">
                  <c:v>Zagraniczne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1'!$B$5:$F$5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1'!$B$6:$F$6</c:f>
              <c:numCache>
                <c:formatCode>General</c:formatCode>
                <c:ptCount val="5"/>
                <c:pt idx="0">
                  <c:v>333</c:v>
                </c:pt>
                <c:pt idx="1">
                  <c:v>82</c:v>
                </c:pt>
                <c:pt idx="2">
                  <c:v>101</c:v>
                </c:pt>
                <c:pt idx="3">
                  <c:v>105</c:v>
                </c:pt>
                <c:pt idx="4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A-DC40-AA1B-6683F2BAC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056319"/>
        <c:axId val="1951063039"/>
      </c:barChart>
      <c:catAx>
        <c:axId val="19510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51063039"/>
        <c:crosses val="autoZero"/>
        <c:auto val="1"/>
        <c:lblAlgn val="ctr"/>
        <c:lblOffset val="100"/>
        <c:noMultiLvlLbl val="0"/>
      </c:catAx>
      <c:valAx>
        <c:axId val="19510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5105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aseline="0"/>
              <a:t>Przychody ze sprzedaży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'Blok 1'!$A$14</c:f>
              <c:strCache>
                <c:ptCount val="1"/>
                <c:pt idx="0">
                  <c:v>Krajowe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1'!$B$5:$F$5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1'!$B$14:$F$14</c:f>
              <c:numCache>
                <c:formatCode>_ * #\ ##0.0_)_ ;_ * \(#\ ##0.0\)_ ;_ * "-"??_)_ ;_ @_ </c:formatCode>
                <c:ptCount val="5"/>
                <c:pt idx="0">
                  <c:v>1125.0695017768724</c:v>
                </c:pt>
                <c:pt idx="1">
                  <c:v>221.20191990906997</c:v>
                </c:pt>
                <c:pt idx="2">
                  <c:v>216.82305133495598</c:v>
                </c:pt>
                <c:pt idx="3">
                  <c:v>187.91718921434003</c:v>
                </c:pt>
                <c:pt idx="4">
                  <c:v>85.287265119850005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1-934B-BB9A-AEF3C8A7E837}"/>
            </c:ext>
          </c:extLst>
        </c:ser>
        <c:ser>
          <c:idx val="0"/>
          <c:order val="1"/>
          <c:tx>
            <c:strRef>
              <c:f>'Blok 1'!$A$13</c:f>
              <c:strCache>
                <c:ptCount val="1"/>
                <c:pt idx="0">
                  <c:v>Zagraniczne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1'!$B$5:$F$5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1'!$B$13:$F$13</c:f>
              <c:numCache>
                <c:formatCode>_ * #\ ##0.0_)_ ;_ * \(#\ ##0.0\)_ ;_ * "-"??_)_ ;_ @_ </c:formatCode>
                <c:ptCount val="5"/>
                <c:pt idx="0">
                  <c:v>743.27253971386938</c:v>
                </c:pt>
                <c:pt idx="1">
                  <c:v>169.02419250038</c:v>
                </c:pt>
                <c:pt idx="2">
                  <c:v>204.59530193760995</c:v>
                </c:pt>
                <c:pt idx="3">
                  <c:v>157.10386560360001</c:v>
                </c:pt>
                <c:pt idx="4">
                  <c:v>407.73598889009992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1-934B-BB9A-AEF3C8A7E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056319"/>
        <c:axId val="1951063039"/>
      </c:barChart>
      <c:catAx>
        <c:axId val="19510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51063039"/>
        <c:crosses val="autoZero"/>
        <c:auto val="1"/>
        <c:lblAlgn val="ctr"/>
        <c:lblOffset val="100"/>
        <c:noMultiLvlLbl val="0"/>
      </c:catAx>
      <c:valAx>
        <c:axId val="19510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.0_)_ ;_ * \(#\ ##0.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5105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</a:t>
            </a:r>
            <a:r>
              <a:rPr lang="en-GB"/>
              <a:t>ksport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'Blok 1'!$A$21</c:f>
              <c:strCache>
                <c:ptCount val="1"/>
                <c:pt idx="0">
                  <c:v>Krajowe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1'!$B$5:$F$5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1'!$B$21:$F$21</c:f>
              <c:numCache>
                <c:formatCode>_ * #\ ##0.0_)_ ;_ * \(#\ ##0.0\)_ ;_ * "-"??_)_ ;_ @_ </c:formatCode>
                <c:ptCount val="5"/>
                <c:pt idx="0">
                  <c:v>9.0899529820099989</c:v>
                </c:pt>
                <c:pt idx="1">
                  <c:v>38.880591002809993</c:v>
                </c:pt>
                <c:pt idx="2">
                  <c:v>80.402931199510007</c:v>
                </c:pt>
                <c:pt idx="3">
                  <c:v>117.17828747353053</c:v>
                </c:pt>
                <c:pt idx="4">
                  <c:v>74.53201336154001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6-C34C-A3C4-516AC88843AD}"/>
            </c:ext>
          </c:extLst>
        </c:ser>
        <c:ser>
          <c:idx val="0"/>
          <c:order val="1"/>
          <c:tx>
            <c:strRef>
              <c:f>'Blok 1'!$A$20</c:f>
              <c:strCache>
                <c:ptCount val="1"/>
                <c:pt idx="0">
                  <c:v>Zagraniczne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1'!$B$5:$F$5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1'!$B$20:$F$20</c:f>
              <c:numCache>
                <c:formatCode>_ * #\ ##0.0_)_ ;_ * \(#\ ##0.0\)_ ;_ * "-"??_)_ ;_ @_ </c:formatCode>
                <c:ptCount val="5"/>
                <c:pt idx="0">
                  <c:v>8.3038388714494893</c:v>
                </c:pt>
                <c:pt idx="1">
                  <c:v>28.854221690465828</c:v>
                </c:pt>
                <c:pt idx="2">
                  <c:v>74.089629243700003</c:v>
                </c:pt>
                <c:pt idx="3">
                  <c:v>99.559191601540007</c:v>
                </c:pt>
                <c:pt idx="4">
                  <c:v>371.59243273782494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6-C34C-A3C4-516AC8884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1056319"/>
        <c:axId val="1951063039"/>
      </c:barChart>
      <c:catAx>
        <c:axId val="19510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51063039"/>
        <c:crosses val="autoZero"/>
        <c:auto val="1"/>
        <c:lblAlgn val="ctr"/>
        <c:lblOffset val="100"/>
        <c:noMultiLvlLbl val="0"/>
      </c:catAx>
      <c:valAx>
        <c:axId val="19510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.0_)_ ;_ * \(#\ ##0.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5105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'Blok 3'!$A$8</c:f>
              <c:strCache>
                <c:ptCount val="1"/>
                <c:pt idx="0">
                  <c:v>Krajowe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3'!$B$6:$E$6</c:f>
              <c:strCache>
                <c:ptCount val="4"/>
                <c:pt idx="0">
                  <c:v>N1</c:v>
                </c:pt>
                <c:pt idx="1">
                  <c:v>N2</c:v>
                </c:pt>
                <c:pt idx="2">
                  <c:v>R1</c:v>
                </c:pt>
                <c:pt idx="3">
                  <c:v>R2</c:v>
                </c:pt>
              </c:strCache>
            </c:strRef>
          </c:cat>
          <c:val>
            <c:numRef>
              <c:f>'Blok 3'!$B$8:$E$8</c:f>
              <c:numCache>
                <c:formatCode>General</c:formatCode>
                <c:ptCount val="4"/>
                <c:pt idx="0">
                  <c:v>124</c:v>
                </c:pt>
                <c:pt idx="1">
                  <c:v>317</c:v>
                </c:pt>
                <c:pt idx="2">
                  <c:v>376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8-4B45-B012-4CEF50B23FE9}"/>
            </c:ext>
          </c:extLst>
        </c:ser>
        <c:ser>
          <c:idx val="0"/>
          <c:order val="1"/>
          <c:tx>
            <c:strRef>
              <c:f>'Blok 3'!$A$7</c:f>
              <c:strCache>
                <c:ptCount val="1"/>
                <c:pt idx="0">
                  <c:v>Zagraniczne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3'!$B$6:$E$6</c:f>
              <c:strCache>
                <c:ptCount val="4"/>
                <c:pt idx="0">
                  <c:v>N1</c:v>
                </c:pt>
                <c:pt idx="1">
                  <c:v>N2</c:v>
                </c:pt>
                <c:pt idx="2">
                  <c:v>R1</c:v>
                </c:pt>
                <c:pt idx="3">
                  <c:v>R2</c:v>
                </c:pt>
              </c:strCache>
            </c:strRef>
          </c:cat>
          <c:val>
            <c:numRef>
              <c:f>'Blok 3'!$B$7:$E$7</c:f>
              <c:numCache>
                <c:formatCode>General</c:formatCode>
                <c:ptCount val="4"/>
                <c:pt idx="0">
                  <c:v>121</c:v>
                </c:pt>
                <c:pt idx="1">
                  <c:v>353</c:v>
                </c:pt>
                <c:pt idx="2">
                  <c:v>331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8-4B45-B012-4CEF50B23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110911"/>
        <c:axId val="2030114047"/>
      </c:barChart>
      <c:catAx>
        <c:axId val="20301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30114047"/>
        <c:crosses val="autoZero"/>
        <c:auto val="1"/>
        <c:lblAlgn val="ctr"/>
        <c:lblOffset val="100"/>
        <c:noMultiLvlLbl val="0"/>
      </c:catAx>
      <c:valAx>
        <c:axId val="203011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301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Przychody ze sprzedaży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'Blok 3'!$A$14</c:f>
              <c:strCache>
                <c:ptCount val="1"/>
                <c:pt idx="0">
                  <c:v>Krajowe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3'!$B$6:$E$6</c:f>
              <c:strCache>
                <c:ptCount val="4"/>
                <c:pt idx="0">
                  <c:v>N1</c:v>
                </c:pt>
                <c:pt idx="1">
                  <c:v>N2</c:v>
                </c:pt>
                <c:pt idx="2">
                  <c:v>R1</c:v>
                </c:pt>
                <c:pt idx="3">
                  <c:v>R2</c:v>
                </c:pt>
              </c:strCache>
            </c:strRef>
          </c:cat>
          <c:val>
            <c:numRef>
              <c:f>'Blok 3'!$B$14:$E$14</c:f>
              <c:numCache>
                <c:formatCode>_ * #\ ##0.0_)_ ;_ * \(#\ ##0.0\)_ ;_ * "-"??_)_ ;_ @_ </c:formatCode>
                <c:ptCount val="4"/>
                <c:pt idx="0">
                  <c:v>65.12950847127</c:v>
                </c:pt>
                <c:pt idx="1">
                  <c:v>409.42433766013988</c:v>
                </c:pt>
                <c:pt idx="2">
                  <c:v>710.7346903860265</c:v>
                </c:pt>
                <c:pt idx="3">
                  <c:v>651.01039083765136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4-3344-B62E-F637D572770C}"/>
            </c:ext>
          </c:extLst>
        </c:ser>
        <c:ser>
          <c:idx val="0"/>
          <c:order val="1"/>
          <c:tx>
            <c:strRef>
              <c:f>'Blok 3'!$A$13</c:f>
              <c:strCache>
                <c:ptCount val="1"/>
                <c:pt idx="0">
                  <c:v>Zagraniczne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3'!$B$6:$E$6</c:f>
              <c:strCache>
                <c:ptCount val="4"/>
                <c:pt idx="0">
                  <c:v>N1</c:v>
                </c:pt>
                <c:pt idx="1">
                  <c:v>N2</c:v>
                </c:pt>
                <c:pt idx="2">
                  <c:v>R1</c:v>
                </c:pt>
                <c:pt idx="3">
                  <c:v>R2</c:v>
                </c:pt>
              </c:strCache>
            </c:strRef>
          </c:cat>
          <c:val>
            <c:numRef>
              <c:f>'Blok 3'!$B$13:$E$13</c:f>
              <c:numCache>
                <c:formatCode>_ * #\ ##0.0_)_ ;_ * \(#\ ##0.0\)_ ;_ * "-"??_)_ ;_ @_ </c:formatCode>
                <c:ptCount val="4"/>
                <c:pt idx="0">
                  <c:v>98.451168012170015</c:v>
                </c:pt>
                <c:pt idx="1">
                  <c:v>587.64190749352019</c:v>
                </c:pt>
                <c:pt idx="2">
                  <c:v>751.49772606315969</c:v>
                </c:pt>
                <c:pt idx="3">
                  <c:v>244.14108707671005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4-3344-B62E-F637D572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110911"/>
        <c:axId val="2030114047"/>
      </c:barChart>
      <c:catAx>
        <c:axId val="20301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30114047"/>
        <c:crosses val="autoZero"/>
        <c:auto val="1"/>
        <c:lblAlgn val="ctr"/>
        <c:lblOffset val="100"/>
        <c:noMultiLvlLbl val="0"/>
      </c:catAx>
      <c:valAx>
        <c:axId val="203011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.0_)_ ;_ * \(#\ ##0.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301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</a:t>
            </a:r>
            <a:r>
              <a:rPr lang="en-GB"/>
              <a:t>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'Blok 3'!$A$14</c:f>
              <c:strCache>
                <c:ptCount val="1"/>
                <c:pt idx="0">
                  <c:v>Krajowe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3'!$B$6:$E$6</c:f>
              <c:strCache>
                <c:ptCount val="4"/>
                <c:pt idx="0">
                  <c:v>N1</c:v>
                </c:pt>
                <c:pt idx="1">
                  <c:v>N2</c:v>
                </c:pt>
                <c:pt idx="2">
                  <c:v>R1</c:v>
                </c:pt>
                <c:pt idx="3">
                  <c:v>R2</c:v>
                </c:pt>
              </c:strCache>
            </c:strRef>
          </c:cat>
          <c:val>
            <c:numRef>
              <c:f>'Blok 3'!$B$14:$E$14</c:f>
              <c:numCache>
                <c:formatCode>_ * #\ ##0.0_)_ ;_ * \(#\ ##0.0\)_ ;_ * "-"??_)_ ;_ @_ </c:formatCode>
                <c:ptCount val="4"/>
                <c:pt idx="0">
                  <c:v>65.12950847127</c:v>
                </c:pt>
                <c:pt idx="1">
                  <c:v>409.42433766013988</c:v>
                </c:pt>
                <c:pt idx="2">
                  <c:v>710.7346903860265</c:v>
                </c:pt>
                <c:pt idx="3">
                  <c:v>651.01039083765136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D-B141-9BB6-6712E1A75D27}"/>
            </c:ext>
          </c:extLst>
        </c:ser>
        <c:ser>
          <c:idx val="0"/>
          <c:order val="1"/>
          <c:tx>
            <c:strRef>
              <c:f>'Blok 3'!$A$13</c:f>
              <c:strCache>
                <c:ptCount val="1"/>
                <c:pt idx="0">
                  <c:v>Zagraniczne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3'!$B$6:$E$6</c:f>
              <c:strCache>
                <c:ptCount val="4"/>
                <c:pt idx="0">
                  <c:v>N1</c:v>
                </c:pt>
                <c:pt idx="1">
                  <c:v>N2</c:v>
                </c:pt>
                <c:pt idx="2">
                  <c:v>R1</c:v>
                </c:pt>
                <c:pt idx="3">
                  <c:v>R2</c:v>
                </c:pt>
              </c:strCache>
            </c:strRef>
          </c:cat>
          <c:val>
            <c:numRef>
              <c:f>'Blok 3'!$B$13:$E$13</c:f>
              <c:numCache>
                <c:formatCode>_ * #\ ##0.0_)_ ;_ * \(#\ ##0.0\)_ ;_ * "-"??_)_ ;_ @_ </c:formatCode>
                <c:ptCount val="4"/>
                <c:pt idx="0">
                  <c:v>98.451168012170015</c:v>
                </c:pt>
                <c:pt idx="1">
                  <c:v>587.64190749352019</c:v>
                </c:pt>
                <c:pt idx="2">
                  <c:v>751.49772606315969</c:v>
                </c:pt>
                <c:pt idx="3">
                  <c:v>244.14108707671005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D-B141-9BB6-6712E1A75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110911"/>
        <c:axId val="2030114047"/>
      </c:barChart>
      <c:catAx>
        <c:axId val="20301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30114047"/>
        <c:crosses val="autoZero"/>
        <c:auto val="1"/>
        <c:lblAlgn val="ctr"/>
        <c:lblOffset val="100"/>
        <c:noMultiLvlLbl val="0"/>
      </c:catAx>
      <c:valAx>
        <c:axId val="203011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.0_)_ ;_ * \(#\ ##0.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301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GB" b="1"/>
              <a:t>Trajektorie</a:t>
            </a:r>
            <a:r>
              <a:rPr lang="en-GB" b="1" baseline="0"/>
              <a:t> wzrostu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'Blok 4'!$A$4</c:f>
              <c:strCache>
                <c:ptCount val="1"/>
                <c:pt idx="0">
                  <c:v>N1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'Blok 4'!$B$3:$F$3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4'!$B$4:$F$4</c:f>
              <c:numCache>
                <c:formatCode>0%</c:formatCode>
                <c:ptCount val="5"/>
                <c:pt idx="0">
                  <c:v>1</c:v>
                </c:pt>
                <c:pt idx="1">
                  <c:v>0.81959460402198547</c:v>
                </c:pt>
                <c:pt idx="2">
                  <c:v>0.76292050432272596</c:v>
                </c:pt>
                <c:pt idx="3">
                  <c:v>0.72570770652373395</c:v>
                </c:pt>
                <c:pt idx="4">
                  <c:v>0.49855808482180364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4-CD44-BA39-189871612D8F}"/>
            </c:ext>
          </c:extLst>
        </c:ser>
        <c:ser>
          <c:idx val="1"/>
          <c:order val="1"/>
          <c:tx>
            <c:strRef>
              <c:f>'Blok 4'!$A$5</c:f>
              <c:strCache>
                <c:ptCount val="1"/>
                <c:pt idx="0">
                  <c:v>N2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'Blok 4'!$B$3:$F$3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4'!$B$5:$F$5</c:f>
              <c:numCache>
                <c:formatCode>0%</c:formatCode>
                <c:ptCount val="5"/>
                <c:pt idx="0">
                  <c:v>1</c:v>
                </c:pt>
                <c:pt idx="1">
                  <c:v>0.91407590107928582</c:v>
                </c:pt>
                <c:pt idx="2">
                  <c:v>0.98306914799206657</c:v>
                </c:pt>
                <c:pt idx="3">
                  <c:v>1.0174251654898996</c:v>
                </c:pt>
                <c:pt idx="4">
                  <c:v>0.87433869088501248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4-CD44-BA39-189871612D8F}"/>
            </c:ext>
          </c:extLst>
        </c:ser>
        <c:ser>
          <c:idx val="2"/>
          <c:order val="2"/>
          <c:tx>
            <c:strRef>
              <c:f>'Blok 4'!$A$6</c:f>
              <c:strCache>
                <c:ptCount val="1"/>
                <c:pt idx="0">
                  <c:v>R1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'Blok 4'!$B$3:$F$3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4'!$B$6:$F$6</c:f>
              <c:numCache>
                <c:formatCode>0%</c:formatCode>
                <c:ptCount val="5"/>
                <c:pt idx="0">
                  <c:v>1</c:v>
                </c:pt>
                <c:pt idx="1">
                  <c:v>0.98142568596661706</c:v>
                </c:pt>
                <c:pt idx="2">
                  <c:v>1.1617844759219664</c:v>
                </c:pt>
                <c:pt idx="3">
                  <c:v>1.2858683229007981</c:v>
                </c:pt>
                <c:pt idx="4">
                  <c:v>1.187758181830266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E4-CD44-BA39-189871612D8F}"/>
            </c:ext>
          </c:extLst>
        </c:ser>
        <c:ser>
          <c:idx val="3"/>
          <c:order val="3"/>
          <c:tx>
            <c:strRef>
              <c:f>'Blok 4'!$A$7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'Blok 4'!$B$3:$F$3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4'!$B$7:$F$7</c:f>
              <c:numCache>
                <c:formatCode>0%</c:formatCode>
                <c:ptCount val="5"/>
                <c:pt idx="0">
                  <c:v>1</c:v>
                </c:pt>
                <c:pt idx="1">
                  <c:v>1.1959869980329021</c:v>
                </c:pt>
                <c:pt idx="2">
                  <c:v>1.5282749820920047</c:v>
                </c:pt>
                <c:pt idx="3">
                  <c:v>1.9540951649579639</c:v>
                </c:pt>
                <c:pt idx="4">
                  <c:v>2.1541159373870928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E4-CD44-BA39-189871612D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1786112"/>
        <c:axId val="1821791040"/>
      </c:lineChart>
      <c:catAx>
        <c:axId val="182178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21791040"/>
        <c:crosses val="autoZero"/>
        <c:auto val="1"/>
        <c:lblAlgn val="ctr"/>
        <c:lblOffset val="100"/>
        <c:noMultiLvlLbl val="0"/>
      </c:catAx>
      <c:valAx>
        <c:axId val="1821791040"/>
        <c:scaling>
          <c:orientation val="minMax"/>
        </c:scaling>
        <c:delete val="1"/>
        <c:axPos val="l"/>
        <c:numFmt formatCode="#,##0.0" sourceLinked="0"/>
        <c:majorTickMark val="none"/>
        <c:minorTickMark val="none"/>
        <c:tickLblPos val="nextTo"/>
        <c:crossAx val="182178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1556859682084"/>
          <c:y val="0.90076333481570603"/>
          <c:w val="0.55163679607073246"/>
          <c:h val="5.6047296413529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317500</xdr:colOff>
      <xdr:row>23</xdr:row>
      <xdr:rowOff>165100</xdr:rowOff>
    </xdr:from>
    <xdr:to>
      <xdr:col>23</xdr:col>
      <xdr:colOff>571500</xdr:colOff>
      <xdr:row>24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5818AC-B110-BF98-1E3B-C3EB5DCA6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12700</xdr:colOff>
      <xdr:row>23</xdr:row>
      <xdr:rowOff>152400</xdr:rowOff>
    </xdr:from>
    <xdr:to>
      <xdr:col>31</xdr:col>
      <xdr:colOff>50800</xdr:colOff>
      <xdr:row>24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61E91D-E347-5D8B-30D1-63BBA26DC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1</xdr:row>
      <xdr:rowOff>25400</xdr:rowOff>
    </xdr:from>
    <xdr:to>
      <xdr:col>18</xdr:col>
      <xdr:colOff>711200</xdr:colOff>
      <xdr:row>17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CC827D-4F66-A711-50EB-B1AF1EC72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25400</xdr:colOff>
      <xdr:row>19</xdr:row>
      <xdr:rowOff>12700</xdr:rowOff>
    </xdr:from>
    <xdr:to>
      <xdr:col>18</xdr:col>
      <xdr:colOff>679450</xdr:colOff>
      <xdr:row>35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833BB3-967D-5044-BE52-02B1B6F39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654050</xdr:colOff>
      <xdr:row>53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649331-BBA2-BA45-817B-9A92DA3CD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5</xdr:row>
      <xdr:rowOff>0</xdr:rowOff>
    </xdr:from>
    <xdr:to>
      <xdr:col>18</xdr:col>
      <xdr:colOff>330200</xdr:colOff>
      <xdr:row>23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DFFBD5-D94D-A51B-B353-C152C6165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18</xdr:col>
      <xdr:colOff>298450</xdr:colOff>
      <xdr:row>43</xdr:row>
      <xdr:rowOff>88900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8BF2F5-3472-6D4B-8502-F2E5E379F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18</xdr:col>
      <xdr:colOff>298450</xdr:colOff>
      <xdr:row>63</xdr:row>
      <xdr:rowOff>88900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B31796-FF95-3A47-9DD8-C118DF82E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12</xdr:row>
      <xdr:rowOff>88900</xdr:rowOff>
    </xdr:from>
    <xdr:to>
      <xdr:col>6</xdr:col>
      <xdr:colOff>19050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572FDA-1B12-234A-876A-BD1827F1D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1E59-962B-D841-A03F-645D214B0F94}">
  <dimension ref="A2:K30"/>
  <sheetViews>
    <sheetView tabSelected="1" workbookViewId="0">
      <selection activeCell="A5" sqref="A5"/>
    </sheetView>
  </sheetViews>
  <sheetFormatPr baseColWidth="10" defaultColWidth="11.5" defaultRowHeight="15"/>
  <cols>
    <col min="1" max="1" width="52.83203125" customWidth="1"/>
    <col min="2" max="2" width="10.6640625" customWidth="1"/>
    <col min="3" max="3" width="10" customWidth="1"/>
    <col min="4" max="4" width="9.6640625" customWidth="1"/>
    <col min="5" max="5" width="10" customWidth="1"/>
    <col min="6" max="6" width="9.6640625" customWidth="1"/>
    <col min="7" max="7" width="10.83203125" customWidth="1"/>
    <col min="8" max="8" width="7.33203125" bestFit="1" customWidth="1"/>
    <col min="9" max="9" width="4.1640625" bestFit="1" customWidth="1"/>
    <col min="10" max="10" width="9.83203125" bestFit="1" customWidth="1"/>
    <col min="11" max="11" width="7.33203125" bestFit="1" customWidth="1"/>
    <col min="12" max="12" width="3.1640625" bestFit="1" customWidth="1"/>
    <col min="13" max="13" width="9.83203125" bestFit="1" customWidth="1"/>
    <col min="14" max="14" width="8.33203125" bestFit="1" customWidth="1"/>
    <col min="15" max="15" width="3.1640625" bestFit="1" customWidth="1"/>
    <col min="17" max="17" width="10" bestFit="1" customWidth="1"/>
  </cols>
  <sheetData>
    <row r="2" spans="1:7">
      <c r="B2" s="2"/>
    </row>
    <row r="3" spans="1:7">
      <c r="A3" s="21" t="s">
        <v>38</v>
      </c>
    </row>
    <row r="4" spans="1:7">
      <c r="A4" s="8" t="s">
        <v>5</v>
      </c>
    </row>
    <row r="5" spans="1:7">
      <c r="A5" s="8" t="s">
        <v>37</v>
      </c>
      <c r="B5" s="20" t="s">
        <v>0</v>
      </c>
      <c r="C5" s="20" t="s">
        <v>2</v>
      </c>
      <c r="D5" s="20" t="s">
        <v>4</v>
      </c>
      <c r="E5" s="20" t="s">
        <v>1</v>
      </c>
      <c r="F5" s="20" t="s">
        <v>3</v>
      </c>
      <c r="G5" s="20" t="s">
        <v>7</v>
      </c>
    </row>
    <row r="6" spans="1:7">
      <c r="A6" s="8" t="s">
        <v>34</v>
      </c>
      <c r="B6" s="4">
        <v>333</v>
      </c>
      <c r="C6" s="4">
        <v>82</v>
      </c>
      <c r="D6" s="4">
        <v>101</v>
      </c>
      <c r="E6" s="4">
        <v>105</v>
      </c>
      <c r="F6" s="4">
        <v>256</v>
      </c>
      <c r="G6" s="8">
        <v>877</v>
      </c>
    </row>
    <row r="7" spans="1:7">
      <c r="A7" s="8" t="s">
        <v>35</v>
      </c>
      <c r="B7" s="4">
        <v>533</v>
      </c>
      <c r="C7" s="4">
        <v>106</v>
      </c>
      <c r="D7" s="4">
        <v>139</v>
      </c>
      <c r="E7" s="4">
        <v>96</v>
      </c>
      <c r="F7" s="4">
        <v>59</v>
      </c>
      <c r="G7" s="8">
        <v>933</v>
      </c>
    </row>
    <row r="8" spans="1:7">
      <c r="A8" s="8" t="s">
        <v>7</v>
      </c>
      <c r="B8" s="8">
        <v>866</v>
      </c>
      <c r="C8" s="8">
        <v>188</v>
      </c>
      <c r="D8" s="8">
        <v>240</v>
      </c>
      <c r="E8" s="8">
        <v>201</v>
      </c>
      <c r="F8" s="8">
        <v>315</v>
      </c>
      <c r="G8" s="8">
        <v>1810</v>
      </c>
    </row>
    <row r="11" spans="1:7">
      <c r="A11" s="7" t="s">
        <v>20</v>
      </c>
    </row>
    <row r="12" spans="1:7">
      <c r="A12" s="8" t="s">
        <v>37</v>
      </c>
      <c r="B12" s="20" t="s">
        <v>0</v>
      </c>
      <c r="C12" s="20" t="s">
        <v>2</v>
      </c>
      <c r="D12" s="20" t="s">
        <v>4</v>
      </c>
      <c r="E12" s="20" t="s">
        <v>1</v>
      </c>
      <c r="F12" s="20" t="s">
        <v>3</v>
      </c>
      <c r="G12" s="20" t="s">
        <v>7</v>
      </c>
    </row>
    <row r="13" spans="1:7">
      <c r="A13" s="8" t="s">
        <v>34</v>
      </c>
      <c r="B13" s="6">
        <v>743.27253971386938</v>
      </c>
      <c r="C13" s="6">
        <v>169.02419250038</v>
      </c>
      <c r="D13" s="6">
        <v>204.59530193760995</v>
      </c>
      <c r="E13" s="6">
        <v>157.10386560360001</v>
      </c>
      <c r="F13" s="6">
        <v>407.73598889009992</v>
      </c>
      <c r="G13" s="9">
        <v>1681.7318886455594</v>
      </c>
    </row>
    <row r="14" spans="1:7">
      <c r="A14" s="8" t="s">
        <v>35</v>
      </c>
      <c r="B14" s="6">
        <v>1125.0695017768724</v>
      </c>
      <c r="C14" s="6">
        <v>221.20191990906997</v>
      </c>
      <c r="D14" s="6">
        <v>216.82305133495598</v>
      </c>
      <c r="E14" s="6">
        <v>187.91718921434003</v>
      </c>
      <c r="F14" s="6">
        <v>85.287265119850005</v>
      </c>
      <c r="G14" s="9">
        <v>1836.2989273550882</v>
      </c>
    </row>
    <row r="15" spans="1:7">
      <c r="A15" s="8" t="s">
        <v>7</v>
      </c>
      <c r="B15" s="9">
        <v>1868.3420414907416</v>
      </c>
      <c r="C15" s="9">
        <v>390.22611240944997</v>
      </c>
      <c r="D15" s="9">
        <v>421.41835327256598</v>
      </c>
      <c r="E15" s="9">
        <v>345.02105481794007</v>
      </c>
      <c r="F15" s="9">
        <v>493.02325400994994</v>
      </c>
      <c r="G15" s="9">
        <v>3518.0308160006475</v>
      </c>
    </row>
    <row r="17" spans="1:11">
      <c r="A17" s="1"/>
    </row>
    <row r="18" spans="1:11">
      <c r="A18" s="7" t="s">
        <v>21</v>
      </c>
    </row>
    <row r="19" spans="1:11">
      <c r="A19" s="8" t="s">
        <v>37</v>
      </c>
      <c r="B19" s="20" t="s">
        <v>0</v>
      </c>
      <c r="C19" s="20" t="s">
        <v>2</v>
      </c>
      <c r="D19" s="20" t="s">
        <v>4</v>
      </c>
      <c r="E19" s="20" t="s">
        <v>1</v>
      </c>
      <c r="F19" s="20" t="s">
        <v>3</v>
      </c>
      <c r="G19" s="20" t="s">
        <v>7</v>
      </c>
    </row>
    <row r="20" spans="1:11">
      <c r="A20" s="8" t="s">
        <v>34</v>
      </c>
      <c r="B20" s="6">
        <v>8.3038388714494893</v>
      </c>
      <c r="C20" s="6">
        <v>28.854221690465828</v>
      </c>
      <c r="D20" s="6">
        <v>74.089629243700003</v>
      </c>
      <c r="E20" s="6">
        <v>99.559191601540007</v>
      </c>
      <c r="F20" s="6">
        <v>371.59243273782494</v>
      </c>
      <c r="G20" s="9">
        <v>582.39931414498017</v>
      </c>
    </row>
    <row r="21" spans="1:11">
      <c r="A21" s="8" t="s">
        <v>35</v>
      </c>
      <c r="B21" s="6">
        <v>9.0899529820099989</v>
      </c>
      <c r="C21" s="6">
        <v>38.880591002809993</v>
      </c>
      <c r="D21" s="6">
        <v>80.402931199510007</v>
      </c>
      <c r="E21" s="6">
        <v>117.17828747353053</v>
      </c>
      <c r="F21" s="6">
        <v>74.53201336154001</v>
      </c>
      <c r="G21" s="9">
        <v>320.08377601940055</v>
      </c>
    </row>
    <row r="22" spans="1:11">
      <c r="A22" s="8" t="s">
        <v>7</v>
      </c>
      <c r="B22" s="9">
        <v>17.39379185345949</v>
      </c>
      <c r="C22" s="9">
        <v>67.734812693275828</v>
      </c>
      <c r="D22" s="9">
        <v>154.49256044321001</v>
      </c>
      <c r="E22" s="9">
        <v>216.73747907507055</v>
      </c>
      <c r="F22" s="9">
        <v>446.12444609936495</v>
      </c>
      <c r="G22" s="9">
        <v>902.48309016438077</v>
      </c>
    </row>
    <row r="23" spans="1:11">
      <c r="A23" s="3" t="s">
        <v>36</v>
      </c>
    </row>
    <row r="30" spans="1:11">
      <c r="K30" s="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4FB5-315D-2F47-AD4D-EEF93D2F5909}">
  <dimension ref="A1:I19"/>
  <sheetViews>
    <sheetView workbookViewId="0"/>
  </sheetViews>
  <sheetFormatPr baseColWidth="10" defaultColWidth="8.83203125" defaultRowHeight="15"/>
  <cols>
    <col min="1" max="1" width="30.83203125" customWidth="1"/>
    <col min="2" max="2" width="7.83203125" customWidth="1"/>
    <col min="3" max="3" width="12.6640625" customWidth="1"/>
    <col min="4" max="4" width="13.6640625" customWidth="1"/>
    <col min="5" max="5" width="13" customWidth="1"/>
    <col min="6" max="6" width="12.6640625" bestFit="1" customWidth="1"/>
    <col min="7" max="7" width="46" customWidth="1"/>
    <col min="8" max="8" width="28.83203125" customWidth="1"/>
    <col min="9" max="9" width="41.5" customWidth="1"/>
    <col min="10" max="10" width="11.6640625" bestFit="1" customWidth="1"/>
    <col min="11" max="20" width="12.6640625" bestFit="1" customWidth="1"/>
    <col min="21" max="21" width="11.6640625" bestFit="1" customWidth="1"/>
    <col min="22" max="37" width="12.6640625" bestFit="1" customWidth="1"/>
    <col min="38" max="39" width="11.6640625" bestFit="1" customWidth="1"/>
    <col min="40" max="43" width="12.6640625" bestFit="1" customWidth="1"/>
    <col min="44" max="44" width="11.6640625" bestFit="1" customWidth="1"/>
    <col min="45" max="48" width="12.6640625" bestFit="1" customWidth="1"/>
    <col min="49" max="49" width="11.6640625" bestFit="1" customWidth="1"/>
    <col min="50" max="50" width="12.6640625" bestFit="1" customWidth="1"/>
    <col min="51" max="51" width="11.6640625" bestFit="1" customWidth="1"/>
    <col min="52" max="53" width="12.6640625" bestFit="1" customWidth="1"/>
    <col min="54" max="54" width="11.6640625" bestFit="1" customWidth="1"/>
    <col min="55" max="69" width="12.6640625" bestFit="1" customWidth="1"/>
    <col min="70" max="70" width="11.6640625" bestFit="1" customWidth="1"/>
    <col min="71" max="72" width="12.6640625" bestFit="1" customWidth="1"/>
    <col min="73" max="73" width="11.6640625" bestFit="1" customWidth="1"/>
    <col min="74" max="74" width="12.6640625" bestFit="1" customWidth="1"/>
    <col min="75" max="75" width="9.6640625" bestFit="1" customWidth="1"/>
    <col min="76" max="82" width="12.6640625" bestFit="1" customWidth="1"/>
    <col min="83" max="83" width="11.6640625" bestFit="1" customWidth="1"/>
    <col min="84" max="86" width="12.6640625" bestFit="1" customWidth="1"/>
    <col min="87" max="87" width="11.6640625" bestFit="1" customWidth="1"/>
    <col min="88" max="112" width="12.6640625" bestFit="1" customWidth="1"/>
    <col min="113" max="113" width="11.6640625" bestFit="1" customWidth="1"/>
    <col min="114" max="115" width="12.6640625" bestFit="1" customWidth="1"/>
    <col min="116" max="121" width="12.1640625" bestFit="1" customWidth="1"/>
    <col min="122" max="122" width="11.1640625" bestFit="1" customWidth="1"/>
    <col min="123" max="151" width="12.1640625" bestFit="1" customWidth="1"/>
    <col min="152" max="152" width="11.1640625" bestFit="1" customWidth="1"/>
    <col min="153" max="157" width="12.1640625" bestFit="1" customWidth="1"/>
    <col min="158" max="158" width="11.1640625" bestFit="1" customWidth="1"/>
    <col min="159" max="175" width="12.1640625" bestFit="1" customWidth="1"/>
    <col min="176" max="176" width="11.1640625" bestFit="1" customWidth="1"/>
    <col min="177" max="188" width="12.1640625" bestFit="1" customWidth="1"/>
    <col min="189" max="191" width="11.1640625" bestFit="1" customWidth="1"/>
    <col min="192" max="207" width="12.1640625" bestFit="1" customWidth="1"/>
    <col min="208" max="209" width="11.1640625" bestFit="1" customWidth="1"/>
    <col min="210" max="218" width="12.1640625" bestFit="1" customWidth="1"/>
    <col min="219" max="219" width="11.1640625" bestFit="1" customWidth="1"/>
    <col min="220" max="220" width="12.1640625" bestFit="1" customWidth="1"/>
    <col min="221" max="221" width="11.1640625" bestFit="1" customWidth="1"/>
    <col min="222" max="222" width="12.1640625" bestFit="1" customWidth="1"/>
    <col min="223" max="223" width="11.1640625" bestFit="1" customWidth="1"/>
    <col min="224" max="239" width="12.1640625" bestFit="1" customWidth="1"/>
    <col min="240" max="240" width="10.1640625" bestFit="1" customWidth="1"/>
    <col min="241" max="247" width="12.1640625" bestFit="1" customWidth="1"/>
    <col min="248" max="248" width="11.1640625" bestFit="1" customWidth="1"/>
    <col min="249" max="273" width="12.1640625" bestFit="1" customWidth="1"/>
    <col min="274" max="274" width="11.1640625" bestFit="1" customWidth="1"/>
    <col min="275" max="277" width="12.1640625" bestFit="1" customWidth="1"/>
    <col min="278" max="278" width="10.1640625" bestFit="1" customWidth="1"/>
    <col min="279" max="283" width="12.1640625" bestFit="1" customWidth="1"/>
    <col min="284" max="284" width="11.1640625" bestFit="1" customWidth="1"/>
    <col min="285" max="288" width="12.1640625" bestFit="1" customWidth="1"/>
    <col min="289" max="289" width="11.1640625" bestFit="1" customWidth="1"/>
    <col min="290" max="294" width="12.1640625" bestFit="1" customWidth="1"/>
    <col min="295" max="295" width="10.1640625" bestFit="1" customWidth="1"/>
    <col min="296" max="325" width="12.1640625" bestFit="1" customWidth="1"/>
    <col min="326" max="326" width="11.1640625" bestFit="1" customWidth="1"/>
    <col min="327" max="328" width="12.1640625" bestFit="1" customWidth="1"/>
    <col min="329" max="329" width="11.1640625" bestFit="1" customWidth="1"/>
    <col min="330" max="339" width="12.1640625" bestFit="1" customWidth="1"/>
    <col min="340" max="340" width="11.1640625" bestFit="1" customWidth="1"/>
    <col min="341" max="350" width="12.1640625" bestFit="1" customWidth="1"/>
    <col min="351" max="351" width="11.1640625" bestFit="1" customWidth="1"/>
    <col min="352" max="357" width="12.1640625" bestFit="1" customWidth="1"/>
    <col min="358" max="358" width="11.1640625" bestFit="1" customWidth="1"/>
    <col min="359" max="380" width="12.1640625" bestFit="1" customWidth="1"/>
    <col min="381" max="382" width="10.1640625" bestFit="1" customWidth="1"/>
    <col min="383" max="396" width="12.1640625" bestFit="1" customWidth="1"/>
    <col min="397" max="397" width="11.1640625" bestFit="1" customWidth="1"/>
    <col min="398" max="425" width="12.1640625" bestFit="1" customWidth="1"/>
    <col min="426" max="426" width="11.1640625" bestFit="1" customWidth="1"/>
    <col min="427" max="452" width="12.1640625" bestFit="1" customWidth="1"/>
    <col min="453" max="453" width="11.1640625" bestFit="1" customWidth="1"/>
    <col min="454" max="458" width="12.1640625" bestFit="1" customWidth="1"/>
    <col min="459" max="459" width="11.1640625" bestFit="1" customWidth="1"/>
    <col min="460" max="463" width="12.1640625" bestFit="1" customWidth="1"/>
    <col min="464" max="464" width="11.1640625" bestFit="1" customWidth="1"/>
    <col min="465" max="479" width="12.1640625" bestFit="1" customWidth="1"/>
    <col min="480" max="480" width="11.1640625" bestFit="1" customWidth="1"/>
    <col min="481" max="481" width="9.1640625" bestFit="1" customWidth="1"/>
    <col min="482" max="498" width="12.1640625" bestFit="1" customWidth="1"/>
    <col min="499" max="499" width="11.1640625" bestFit="1" customWidth="1"/>
    <col min="500" max="502" width="12.1640625" bestFit="1" customWidth="1"/>
    <col min="503" max="503" width="11.1640625" bestFit="1" customWidth="1"/>
    <col min="504" max="509" width="12.1640625" bestFit="1" customWidth="1"/>
    <col min="510" max="510" width="11.1640625" bestFit="1" customWidth="1"/>
    <col min="511" max="516" width="12.1640625" bestFit="1" customWidth="1"/>
    <col min="517" max="517" width="11.1640625" bestFit="1" customWidth="1"/>
    <col min="518" max="532" width="12.1640625" bestFit="1" customWidth="1"/>
    <col min="533" max="533" width="11.1640625" bestFit="1" customWidth="1"/>
    <col min="534" max="552" width="12.1640625" bestFit="1" customWidth="1"/>
    <col min="553" max="554" width="11.1640625" bestFit="1" customWidth="1"/>
    <col min="555" max="558" width="12.1640625" bestFit="1" customWidth="1"/>
    <col min="559" max="560" width="11.1640625" bestFit="1" customWidth="1"/>
    <col min="561" max="563" width="12.1640625" bestFit="1" customWidth="1"/>
    <col min="564" max="564" width="11.1640625" bestFit="1" customWidth="1"/>
    <col min="565" max="571" width="12.1640625" bestFit="1" customWidth="1"/>
    <col min="572" max="572" width="11.1640625" bestFit="1" customWidth="1"/>
    <col min="573" max="573" width="12.1640625" bestFit="1" customWidth="1"/>
    <col min="574" max="574" width="11.1640625" bestFit="1" customWidth="1"/>
    <col min="575" max="582" width="12.1640625" bestFit="1" customWidth="1"/>
    <col min="583" max="583" width="10.1640625" bestFit="1" customWidth="1"/>
    <col min="584" max="596" width="12.1640625" bestFit="1" customWidth="1"/>
    <col min="597" max="597" width="11.1640625" bestFit="1" customWidth="1"/>
    <col min="598" max="604" width="12.1640625" bestFit="1" customWidth="1"/>
    <col min="605" max="605" width="11.1640625" bestFit="1" customWidth="1"/>
    <col min="606" max="608" width="12.1640625" bestFit="1" customWidth="1"/>
    <col min="609" max="609" width="11.1640625" bestFit="1" customWidth="1"/>
    <col min="610" max="615" width="12.1640625" bestFit="1" customWidth="1"/>
    <col min="616" max="617" width="11.1640625" bestFit="1" customWidth="1"/>
    <col min="618" max="629" width="12.1640625" bestFit="1" customWidth="1"/>
    <col min="630" max="630" width="11.1640625" bestFit="1" customWidth="1"/>
    <col min="631" max="641" width="12.1640625" bestFit="1" customWidth="1"/>
    <col min="642" max="642" width="11.1640625" bestFit="1" customWidth="1"/>
    <col min="643" max="648" width="12.1640625" bestFit="1" customWidth="1"/>
    <col min="649" max="649" width="11.1640625" bestFit="1" customWidth="1"/>
    <col min="650" max="651" width="12.1640625" bestFit="1" customWidth="1"/>
    <col min="652" max="652" width="11.1640625" bestFit="1" customWidth="1"/>
    <col min="653" max="658" width="12.1640625" bestFit="1" customWidth="1"/>
    <col min="659" max="659" width="11.1640625" bestFit="1" customWidth="1"/>
    <col min="660" max="674" width="12.1640625" bestFit="1" customWidth="1"/>
    <col min="675" max="677" width="11.1640625" bestFit="1" customWidth="1"/>
    <col min="678" max="704" width="12.1640625" bestFit="1" customWidth="1"/>
    <col min="705" max="705" width="11.1640625" bestFit="1" customWidth="1"/>
    <col min="706" max="706" width="10.1640625" bestFit="1" customWidth="1"/>
    <col min="707" max="722" width="12.1640625" bestFit="1" customWidth="1"/>
    <col min="723" max="723" width="11.1640625" bestFit="1" customWidth="1"/>
    <col min="724" max="740" width="12.1640625" bestFit="1" customWidth="1"/>
    <col min="741" max="741" width="11.1640625" bestFit="1" customWidth="1"/>
    <col min="742" max="755" width="12.1640625" bestFit="1" customWidth="1"/>
    <col min="756" max="756" width="11.1640625" bestFit="1" customWidth="1"/>
    <col min="757" max="761" width="12.1640625" bestFit="1" customWidth="1"/>
    <col min="762" max="762" width="11.1640625" bestFit="1" customWidth="1"/>
    <col min="763" max="780" width="12.1640625" bestFit="1" customWidth="1"/>
    <col min="781" max="781" width="11.1640625" bestFit="1" customWidth="1"/>
    <col min="782" max="785" width="12.1640625" bestFit="1" customWidth="1"/>
    <col min="786" max="786" width="11.1640625" bestFit="1" customWidth="1"/>
    <col min="787" max="795" width="12.1640625" bestFit="1" customWidth="1"/>
    <col min="796" max="796" width="11.1640625" bestFit="1" customWidth="1"/>
    <col min="797" max="799" width="12.1640625" bestFit="1" customWidth="1"/>
    <col min="800" max="800" width="11.1640625" bestFit="1" customWidth="1"/>
    <col min="801" max="808" width="12.1640625" bestFit="1" customWidth="1"/>
    <col min="809" max="809" width="11.1640625" bestFit="1" customWidth="1"/>
    <col min="810" max="814" width="12.1640625" bestFit="1" customWidth="1"/>
    <col min="815" max="815" width="11.1640625" bestFit="1" customWidth="1"/>
    <col min="816" max="839" width="12.1640625" bestFit="1" customWidth="1"/>
    <col min="840" max="840" width="11.1640625" bestFit="1" customWidth="1"/>
    <col min="841" max="845" width="12.1640625" bestFit="1" customWidth="1"/>
    <col min="846" max="846" width="11.1640625" bestFit="1" customWidth="1"/>
    <col min="847" max="850" width="12.1640625" bestFit="1" customWidth="1"/>
    <col min="851" max="851" width="11.1640625" bestFit="1" customWidth="1"/>
    <col min="852" max="854" width="12.1640625" bestFit="1" customWidth="1"/>
    <col min="855" max="855" width="11.1640625" bestFit="1" customWidth="1"/>
    <col min="856" max="868" width="12.1640625" bestFit="1" customWidth="1"/>
    <col min="869" max="869" width="6.33203125" bestFit="1" customWidth="1"/>
    <col min="870" max="870" width="6.1640625" bestFit="1" customWidth="1"/>
    <col min="871" max="878" width="12.6640625" bestFit="1" customWidth="1"/>
    <col min="879" max="879" width="11.6640625" bestFit="1" customWidth="1"/>
    <col min="880" max="885" width="12.6640625" bestFit="1" customWidth="1"/>
    <col min="886" max="886" width="11.6640625" bestFit="1" customWidth="1"/>
    <col min="887" max="891" width="12.6640625" bestFit="1" customWidth="1"/>
    <col min="892" max="892" width="11.6640625" bestFit="1" customWidth="1"/>
    <col min="893" max="895" width="12.6640625" bestFit="1" customWidth="1"/>
    <col min="896" max="896" width="11.6640625" bestFit="1" customWidth="1"/>
    <col min="897" max="897" width="12.6640625" bestFit="1" customWidth="1"/>
    <col min="898" max="898" width="11.6640625" bestFit="1" customWidth="1"/>
    <col min="899" max="899" width="12.6640625" bestFit="1" customWidth="1"/>
    <col min="900" max="900" width="11.6640625" bestFit="1" customWidth="1"/>
    <col min="901" max="902" width="12.6640625" bestFit="1" customWidth="1"/>
    <col min="903" max="903" width="10.6640625" bestFit="1" customWidth="1"/>
    <col min="904" max="904" width="12.6640625" bestFit="1" customWidth="1"/>
    <col min="905" max="905" width="11.6640625" bestFit="1" customWidth="1"/>
    <col min="906" max="913" width="12.6640625" bestFit="1" customWidth="1"/>
    <col min="914" max="914" width="11.6640625" bestFit="1" customWidth="1"/>
    <col min="915" max="923" width="12.6640625" bestFit="1" customWidth="1"/>
    <col min="924" max="924" width="11.6640625" bestFit="1" customWidth="1"/>
    <col min="925" max="927" width="12.6640625" bestFit="1" customWidth="1"/>
    <col min="928" max="928" width="11.6640625" bestFit="1" customWidth="1"/>
    <col min="929" max="967" width="12.6640625" bestFit="1" customWidth="1"/>
    <col min="968" max="968" width="11.6640625" bestFit="1" customWidth="1"/>
    <col min="969" max="975" width="12.6640625" bestFit="1" customWidth="1"/>
    <col min="976" max="976" width="11.6640625" bestFit="1" customWidth="1"/>
    <col min="977" max="977" width="12.6640625" bestFit="1" customWidth="1"/>
    <col min="978" max="978" width="11.6640625" bestFit="1" customWidth="1"/>
    <col min="979" max="993" width="12.6640625" bestFit="1" customWidth="1"/>
    <col min="994" max="994" width="11.6640625" bestFit="1" customWidth="1"/>
    <col min="995" max="1000" width="12.6640625" bestFit="1" customWidth="1"/>
    <col min="1001" max="1001" width="10.6640625" bestFit="1" customWidth="1"/>
    <col min="1002" max="1003" width="12.6640625" bestFit="1" customWidth="1"/>
    <col min="1004" max="1004" width="12.33203125" bestFit="1" customWidth="1"/>
    <col min="1005" max="1005" width="12.1640625" bestFit="1" customWidth="1"/>
    <col min="1006" max="1007" width="11.1640625" bestFit="1" customWidth="1"/>
    <col min="1008" max="1014" width="12.1640625" bestFit="1" customWidth="1"/>
    <col min="1015" max="1015" width="11.1640625" bestFit="1" customWidth="1"/>
    <col min="1016" max="1037" width="12.1640625" bestFit="1" customWidth="1"/>
    <col min="1038" max="1038" width="11.1640625" bestFit="1" customWidth="1"/>
    <col min="1039" max="1048" width="12.1640625" bestFit="1" customWidth="1"/>
    <col min="1049" max="1049" width="10.1640625" bestFit="1" customWidth="1"/>
    <col min="1050" max="1057" width="12.1640625" bestFit="1" customWidth="1"/>
    <col min="1058" max="1058" width="11.1640625" bestFit="1" customWidth="1"/>
    <col min="1059" max="1064" width="12.1640625" bestFit="1" customWidth="1"/>
    <col min="1065" max="1065" width="11.1640625" bestFit="1" customWidth="1"/>
    <col min="1066" max="1085" width="12.1640625" bestFit="1" customWidth="1"/>
    <col min="1086" max="1086" width="11.1640625" bestFit="1" customWidth="1"/>
    <col min="1087" max="1095" width="12.1640625" bestFit="1" customWidth="1"/>
    <col min="1096" max="1096" width="11.1640625" bestFit="1" customWidth="1"/>
    <col min="1097" max="1105" width="12.1640625" bestFit="1" customWidth="1"/>
    <col min="1106" max="1106" width="11.1640625" bestFit="1" customWidth="1"/>
    <col min="1107" max="1128" width="12.1640625" bestFit="1" customWidth="1"/>
    <col min="1129" max="1129" width="10.1640625" bestFit="1" customWidth="1"/>
    <col min="1130" max="1134" width="12.1640625" bestFit="1" customWidth="1"/>
    <col min="1135" max="1135" width="11.1640625" bestFit="1" customWidth="1"/>
    <col min="1136" max="1136" width="12.1640625" bestFit="1" customWidth="1"/>
    <col min="1137" max="1137" width="11.1640625" bestFit="1" customWidth="1"/>
    <col min="1138" max="1141" width="12.1640625" bestFit="1" customWidth="1"/>
    <col min="1142" max="1142" width="11.1640625" bestFit="1" customWidth="1"/>
    <col min="1143" max="1145" width="12.1640625" bestFit="1" customWidth="1"/>
    <col min="1146" max="1146" width="11.1640625" bestFit="1" customWidth="1"/>
    <col min="1147" max="1149" width="12.1640625" bestFit="1" customWidth="1"/>
    <col min="1150" max="1150" width="10.1640625" bestFit="1" customWidth="1"/>
    <col min="1151" max="1152" width="12.1640625" bestFit="1" customWidth="1"/>
    <col min="1153" max="1153" width="11.1640625" bestFit="1" customWidth="1"/>
    <col min="1154" max="1164" width="12.1640625" bestFit="1" customWidth="1"/>
    <col min="1165" max="1165" width="10.1640625" bestFit="1" customWidth="1"/>
    <col min="1166" max="1187" width="12.1640625" bestFit="1" customWidth="1"/>
    <col min="1188" max="1188" width="11.1640625" bestFit="1" customWidth="1"/>
    <col min="1189" max="1192" width="12.1640625" bestFit="1" customWidth="1"/>
    <col min="1193" max="1193" width="11.1640625" bestFit="1" customWidth="1"/>
    <col min="1194" max="1201" width="12.1640625" bestFit="1" customWidth="1"/>
    <col min="1202" max="1202" width="11.1640625" bestFit="1" customWidth="1"/>
    <col min="1203" max="1203" width="12.1640625" bestFit="1" customWidth="1"/>
    <col min="1204" max="1204" width="11.1640625" bestFit="1" customWidth="1"/>
    <col min="1205" max="1216" width="12.1640625" bestFit="1" customWidth="1"/>
    <col min="1217" max="1217" width="10.1640625" bestFit="1" customWidth="1"/>
    <col min="1218" max="1218" width="11.1640625" bestFit="1" customWidth="1"/>
    <col min="1219" max="1221" width="12.1640625" bestFit="1" customWidth="1"/>
    <col min="1222" max="1222" width="11.1640625" bestFit="1" customWidth="1"/>
    <col min="1223" max="1230" width="12.1640625" bestFit="1" customWidth="1"/>
    <col min="1231" max="1232" width="11.1640625" bestFit="1" customWidth="1"/>
    <col min="1233" max="1239" width="12.1640625" bestFit="1" customWidth="1"/>
    <col min="1240" max="1240" width="11.1640625" bestFit="1" customWidth="1"/>
    <col min="1241" max="1255" width="12.1640625" bestFit="1" customWidth="1"/>
    <col min="1256" max="1256" width="10.1640625" bestFit="1" customWidth="1"/>
    <col min="1257" max="1258" width="12.1640625" bestFit="1" customWidth="1"/>
    <col min="1259" max="1259" width="11.1640625" bestFit="1" customWidth="1"/>
    <col min="1260" max="1260" width="10.1640625" bestFit="1" customWidth="1"/>
    <col min="1261" max="1266" width="12.1640625" bestFit="1" customWidth="1"/>
    <col min="1267" max="1267" width="11.1640625" bestFit="1" customWidth="1"/>
    <col min="1268" max="1288" width="12.1640625" bestFit="1" customWidth="1"/>
    <col min="1289" max="1289" width="11.1640625" bestFit="1" customWidth="1"/>
    <col min="1290" max="1336" width="12.1640625" bestFit="1" customWidth="1"/>
    <col min="1337" max="1337" width="11.1640625" bestFit="1" customWidth="1"/>
    <col min="1338" max="1344" width="12.1640625" bestFit="1" customWidth="1"/>
    <col min="1345" max="1345" width="11.1640625" bestFit="1" customWidth="1"/>
    <col min="1346" max="1377" width="12.1640625" bestFit="1" customWidth="1"/>
    <col min="1378" max="1378" width="11.1640625" bestFit="1" customWidth="1"/>
    <col min="1379" max="1379" width="12.1640625" bestFit="1" customWidth="1"/>
    <col min="1380" max="1380" width="11.1640625" bestFit="1" customWidth="1"/>
    <col min="1381" max="1394" width="12.1640625" bestFit="1" customWidth="1"/>
    <col min="1395" max="1395" width="11.1640625" bestFit="1" customWidth="1"/>
    <col min="1396" max="1396" width="12.1640625" bestFit="1" customWidth="1"/>
    <col min="1397" max="1397" width="11.1640625" bestFit="1" customWidth="1"/>
    <col min="1398" max="1399" width="12.1640625" bestFit="1" customWidth="1"/>
    <col min="1400" max="1400" width="11.1640625" bestFit="1" customWidth="1"/>
    <col min="1401" max="1417" width="12.1640625" bestFit="1" customWidth="1"/>
    <col min="1418" max="1418" width="11.1640625" bestFit="1" customWidth="1"/>
    <col min="1419" max="1419" width="12.1640625" bestFit="1" customWidth="1"/>
    <col min="1420" max="1420" width="11.1640625" bestFit="1" customWidth="1"/>
    <col min="1421" max="1421" width="12.1640625" bestFit="1" customWidth="1"/>
    <col min="1422" max="1422" width="11.1640625" bestFit="1" customWidth="1"/>
    <col min="1423" max="1437" width="12.1640625" bestFit="1" customWidth="1"/>
    <col min="1438" max="1438" width="11.1640625" bestFit="1" customWidth="1"/>
    <col min="1439" max="1454" width="12.1640625" bestFit="1" customWidth="1"/>
    <col min="1455" max="1455" width="11.1640625" bestFit="1" customWidth="1"/>
    <col min="1456" max="1459" width="12.1640625" bestFit="1" customWidth="1"/>
    <col min="1460" max="1460" width="11.1640625" bestFit="1" customWidth="1"/>
    <col min="1461" max="1466" width="12.1640625" bestFit="1" customWidth="1"/>
    <col min="1467" max="1467" width="11.1640625" bestFit="1" customWidth="1"/>
    <col min="1468" max="1477" width="12.1640625" bestFit="1" customWidth="1"/>
    <col min="1478" max="1478" width="11.1640625" bestFit="1" customWidth="1"/>
    <col min="1479" max="1479" width="12.1640625" bestFit="1" customWidth="1"/>
    <col min="1480" max="1480" width="11.1640625" bestFit="1" customWidth="1"/>
    <col min="1481" max="1488" width="12.1640625" bestFit="1" customWidth="1"/>
    <col min="1489" max="1489" width="11.1640625" bestFit="1" customWidth="1"/>
    <col min="1490" max="1519" width="12.1640625" bestFit="1" customWidth="1"/>
    <col min="1520" max="1520" width="11.1640625" bestFit="1" customWidth="1"/>
    <col min="1521" max="1536" width="12.1640625" bestFit="1" customWidth="1"/>
    <col min="1537" max="1539" width="11.1640625" bestFit="1" customWidth="1"/>
    <col min="1540" max="1582" width="12.1640625" bestFit="1" customWidth="1"/>
    <col min="1583" max="1583" width="11.1640625" bestFit="1" customWidth="1"/>
    <col min="1584" max="1586" width="12.1640625" bestFit="1" customWidth="1"/>
    <col min="1587" max="1587" width="11.1640625" bestFit="1" customWidth="1"/>
    <col min="1588" max="1607" width="12.1640625" bestFit="1" customWidth="1"/>
    <col min="1608" max="1608" width="11.1640625" bestFit="1" customWidth="1"/>
    <col min="1609" max="1625" width="12.1640625" bestFit="1" customWidth="1"/>
    <col min="1626" max="1626" width="11.1640625" bestFit="1" customWidth="1"/>
    <col min="1627" max="1636" width="12.1640625" bestFit="1" customWidth="1"/>
    <col min="1637" max="1637" width="11.1640625" bestFit="1" customWidth="1"/>
    <col min="1638" max="1638" width="12.1640625" bestFit="1" customWidth="1"/>
    <col min="1639" max="1639" width="11.1640625" bestFit="1" customWidth="1"/>
    <col min="1640" max="1645" width="12.1640625" bestFit="1" customWidth="1"/>
    <col min="1646" max="1646" width="11.1640625" bestFit="1" customWidth="1"/>
    <col min="1647" max="1654" width="12.1640625" bestFit="1" customWidth="1"/>
    <col min="1655" max="1655" width="11.1640625" bestFit="1" customWidth="1"/>
    <col min="1656" max="1661" width="12.1640625" bestFit="1" customWidth="1"/>
    <col min="1662" max="1662" width="11.1640625" bestFit="1" customWidth="1"/>
    <col min="1663" max="1663" width="12.1640625" bestFit="1" customWidth="1"/>
    <col min="1664" max="1664" width="10.1640625" bestFit="1" customWidth="1"/>
    <col min="1665" max="1698" width="12.1640625" bestFit="1" customWidth="1"/>
    <col min="1699" max="1699" width="11.1640625" bestFit="1" customWidth="1"/>
    <col min="1700" max="1711" width="12.1640625" bestFit="1" customWidth="1"/>
    <col min="1712" max="1712" width="11.1640625" bestFit="1" customWidth="1"/>
    <col min="1713" max="1740" width="12.1640625" bestFit="1" customWidth="1"/>
    <col min="1741" max="1742" width="11.1640625" bestFit="1" customWidth="1"/>
    <col min="1743" max="1758" width="12.1640625" bestFit="1" customWidth="1"/>
    <col min="1759" max="1759" width="11.1640625" bestFit="1" customWidth="1"/>
    <col min="1760" max="1766" width="12.1640625" bestFit="1" customWidth="1"/>
    <col min="1767" max="1767" width="11.1640625" bestFit="1" customWidth="1"/>
    <col min="1768" max="1776" width="12.1640625" bestFit="1" customWidth="1"/>
    <col min="1777" max="1778" width="11.1640625" bestFit="1" customWidth="1"/>
    <col min="1779" max="1779" width="12.1640625" bestFit="1" customWidth="1"/>
    <col min="1780" max="1780" width="10.1640625" bestFit="1" customWidth="1"/>
    <col min="1781" max="1783" width="12.1640625" bestFit="1" customWidth="1"/>
    <col min="1784" max="1784" width="11.1640625" bestFit="1" customWidth="1"/>
    <col min="1785" max="1785" width="12.1640625" bestFit="1" customWidth="1"/>
    <col min="1786" max="1786" width="11.1640625" bestFit="1" customWidth="1"/>
    <col min="1787" max="1791" width="12.1640625" bestFit="1" customWidth="1"/>
    <col min="1792" max="1792" width="11.1640625" bestFit="1" customWidth="1"/>
    <col min="1793" max="1793" width="12.1640625" bestFit="1" customWidth="1"/>
    <col min="1794" max="1795" width="11.1640625" bestFit="1" customWidth="1"/>
    <col min="1796" max="1799" width="12.1640625" bestFit="1" customWidth="1"/>
    <col min="1800" max="1801" width="6.33203125" bestFit="1" customWidth="1"/>
    <col min="1802" max="1802" width="10" bestFit="1" customWidth="1"/>
  </cols>
  <sheetData>
    <row r="1" spans="1:9">
      <c r="A1" s="21" t="s">
        <v>8</v>
      </c>
    </row>
    <row r="2" spans="1:9" ht="28.5" customHeight="1">
      <c r="A2" s="28" t="s">
        <v>59</v>
      </c>
      <c r="B2" s="28" t="s">
        <v>39</v>
      </c>
      <c r="C2" s="28" t="s">
        <v>9</v>
      </c>
      <c r="D2" s="28" t="s">
        <v>10</v>
      </c>
      <c r="E2" s="28" t="s">
        <v>7</v>
      </c>
    </row>
    <row r="3" spans="1:9">
      <c r="A3" s="4" t="s">
        <v>11</v>
      </c>
      <c r="B3" s="4" t="s">
        <v>12</v>
      </c>
      <c r="C3" s="5">
        <v>2.2909651144653136E-2</v>
      </c>
      <c r="D3" s="5">
        <v>3.5083970588664484E-2</v>
      </c>
      <c r="E3" s="5">
        <v>2.8729367429806849E-2</v>
      </c>
    </row>
    <row r="4" spans="1:9">
      <c r="A4" s="4" t="s">
        <v>13</v>
      </c>
      <c r="B4" s="4" t="s">
        <v>12</v>
      </c>
      <c r="C4" s="5">
        <v>2.7871147195302721E-2</v>
      </c>
      <c r="D4" s="5">
        <v>5.8684987867267627E-2</v>
      </c>
      <c r="E4" s="5">
        <v>4.0190259662592716E-2</v>
      </c>
    </row>
    <row r="5" spans="1:9">
      <c r="A5" s="4" t="s">
        <v>14</v>
      </c>
      <c r="B5" s="4" t="s">
        <v>12</v>
      </c>
      <c r="C5" s="5">
        <v>6.6991599138584254E-2</v>
      </c>
      <c r="D5" s="5">
        <v>0.12811621976389331</v>
      </c>
      <c r="E5" s="5">
        <v>9.2852649169772219E-2</v>
      </c>
    </row>
    <row r="6" spans="1:9">
      <c r="A6" s="4" t="s">
        <v>55</v>
      </c>
      <c r="B6" s="4" t="s">
        <v>57</v>
      </c>
      <c r="C6" s="6">
        <v>1227.3807355989077</v>
      </c>
      <c r="D6" s="6">
        <v>1377.3658298516889</v>
      </c>
      <c r="E6" s="6">
        <v>1294.7794665179129</v>
      </c>
    </row>
    <row r="7" spans="1:9">
      <c r="A7" s="4" t="s">
        <v>49</v>
      </c>
      <c r="B7" s="4" t="s">
        <v>57</v>
      </c>
      <c r="C7" s="6">
        <v>112.76594683468927</v>
      </c>
      <c r="D7" s="6">
        <v>122.49718894845273</v>
      </c>
      <c r="E7" s="6">
        <v>117.13887050420968</v>
      </c>
    </row>
    <row r="8" spans="1:9">
      <c r="A8" s="4" t="s">
        <v>56</v>
      </c>
      <c r="B8" s="4" t="s">
        <v>57</v>
      </c>
      <c r="C8" s="6">
        <v>614.31521975396731</v>
      </c>
      <c r="D8" s="6">
        <v>400.65699578830652</v>
      </c>
      <c r="E8" s="6">
        <v>518.30372462883008</v>
      </c>
    </row>
    <row r="12" spans="1:9" ht="21" customHeight="1">
      <c r="G12" s="26" t="s">
        <v>58</v>
      </c>
      <c r="H12" s="26" t="s">
        <v>40</v>
      </c>
      <c r="I12" s="26" t="s">
        <v>41</v>
      </c>
    </row>
    <row r="13" spans="1:9" ht="35" customHeight="1">
      <c r="G13" s="4" t="s">
        <v>42</v>
      </c>
      <c r="H13" s="25" t="s">
        <v>45</v>
      </c>
      <c r="I13" s="25"/>
    </row>
    <row r="14" spans="1:9" ht="35" customHeight="1">
      <c r="G14" s="4" t="s">
        <v>43</v>
      </c>
      <c r="H14" s="25" t="s">
        <v>46</v>
      </c>
      <c r="I14" s="25"/>
    </row>
    <row r="15" spans="1:9" ht="35" customHeight="1">
      <c r="G15" s="4" t="s">
        <v>44</v>
      </c>
      <c r="H15" s="25" t="s">
        <v>47</v>
      </c>
      <c r="I15" s="25"/>
    </row>
    <row r="16" spans="1:9" ht="35" customHeight="1">
      <c r="G16" s="4" t="s">
        <v>48</v>
      </c>
      <c r="H16" s="25" t="s">
        <v>53</v>
      </c>
      <c r="I16" s="25"/>
    </row>
    <row r="17" spans="6:9" ht="35" customHeight="1">
      <c r="G17" s="4" t="s">
        <v>49</v>
      </c>
      <c r="H17" s="25" t="s">
        <v>51</v>
      </c>
      <c r="I17" s="25"/>
    </row>
    <row r="18" spans="6:9" ht="35" customHeight="1">
      <c r="G18" s="4" t="s">
        <v>50</v>
      </c>
      <c r="H18" s="25" t="s">
        <v>52</v>
      </c>
      <c r="I18" s="25"/>
    </row>
    <row r="19" spans="6:9">
      <c r="F19" s="27"/>
      <c r="G19" t="s">
        <v>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7AC0-20E7-6748-A0FC-C5EB6CCE80FE}">
  <dimension ref="A2:K30"/>
  <sheetViews>
    <sheetView workbookViewId="0">
      <selection activeCell="Y1" sqref="Y1"/>
    </sheetView>
  </sheetViews>
  <sheetFormatPr baseColWidth="10" defaultColWidth="11.5" defaultRowHeight="15"/>
  <cols>
    <col min="1" max="1" width="46.5" bestFit="1" customWidth="1"/>
    <col min="2" max="3" width="15.83203125" bestFit="1" customWidth="1"/>
    <col min="4" max="4" width="16" bestFit="1" customWidth="1"/>
    <col min="5" max="5" width="14.5" bestFit="1" customWidth="1"/>
    <col min="6" max="6" width="15.83203125" bestFit="1" customWidth="1"/>
    <col min="7" max="7" width="13.33203125" bestFit="1" customWidth="1"/>
    <col min="8" max="8" width="7.33203125" bestFit="1" customWidth="1"/>
    <col min="9" max="9" width="4.1640625" bestFit="1" customWidth="1"/>
    <col min="10" max="10" width="9.83203125" bestFit="1" customWidth="1"/>
    <col min="11" max="11" width="7.33203125" bestFit="1" customWidth="1"/>
    <col min="12" max="12" width="3.1640625" bestFit="1" customWidth="1"/>
    <col min="13" max="13" width="9.83203125" bestFit="1" customWidth="1"/>
    <col min="14" max="14" width="8.33203125" bestFit="1" customWidth="1"/>
    <col min="15" max="15" width="3.1640625" bestFit="1" customWidth="1"/>
    <col min="17" max="17" width="10" bestFit="1" customWidth="1"/>
  </cols>
  <sheetData>
    <row r="2" spans="1:6">
      <c r="A2" t="s">
        <v>6</v>
      </c>
      <c r="B2" s="2">
        <v>2023</v>
      </c>
    </row>
    <row r="3" spans="1:6">
      <c r="A3" t="s">
        <v>15</v>
      </c>
    </row>
    <row r="5" spans="1:6">
      <c r="A5" s="1"/>
    </row>
    <row r="6" spans="1:6">
      <c r="A6" s="8" t="s">
        <v>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7</v>
      </c>
    </row>
    <row r="7" spans="1:6">
      <c r="A7" s="8" t="s">
        <v>34</v>
      </c>
      <c r="B7" s="4">
        <v>121</v>
      </c>
      <c r="C7" s="4">
        <v>353</v>
      </c>
      <c r="D7" s="4">
        <v>331</v>
      </c>
      <c r="E7" s="4">
        <v>72</v>
      </c>
      <c r="F7" s="8">
        <v>877</v>
      </c>
    </row>
    <row r="8" spans="1:6">
      <c r="A8" s="8" t="s">
        <v>65</v>
      </c>
      <c r="B8" s="4">
        <v>124</v>
      </c>
      <c r="C8" s="4">
        <v>317</v>
      </c>
      <c r="D8" s="4">
        <v>376</v>
      </c>
      <c r="E8" s="4">
        <v>116</v>
      </c>
      <c r="F8" s="8">
        <v>933</v>
      </c>
    </row>
    <row r="9" spans="1:6">
      <c r="A9" s="1" t="s">
        <v>7</v>
      </c>
      <c r="B9" s="1">
        <v>245</v>
      </c>
      <c r="C9" s="1">
        <v>670</v>
      </c>
      <c r="D9" s="1">
        <v>707</v>
      </c>
      <c r="E9" s="1">
        <v>188</v>
      </c>
      <c r="F9" s="1">
        <v>1810</v>
      </c>
    </row>
    <row r="12" spans="1:6">
      <c r="A12" s="7" t="s">
        <v>20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7</v>
      </c>
    </row>
    <row r="13" spans="1:6">
      <c r="A13" s="8" t="s">
        <v>34</v>
      </c>
      <c r="B13" s="6">
        <v>98.451168012170015</v>
      </c>
      <c r="C13" s="6">
        <v>587.64190749352019</v>
      </c>
      <c r="D13" s="6">
        <v>751.49772606315969</v>
      </c>
      <c r="E13" s="6">
        <v>244.14108707671005</v>
      </c>
      <c r="F13" s="9">
        <v>1681.7318886455598</v>
      </c>
    </row>
    <row r="14" spans="1:6">
      <c r="A14" s="8" t="s">
        <v>65</v>
      </c>
      <c r="B14" s="6">
        <v>65.12950847127</v>
      </c>
      <c r="C14" s="6">
        <v>409.42433766013988</v>
      </c>
      <c r="D14" s="6">
        <v>710.7346903860265</v>
      </c>
      <c r="E14" s="6">
        <v>651.01039083765136</v>
      </c>
      <c r="F14" s="9">
        <v>1836.2989273550877</v>
      </c>
    </row>
    <row r="15" spans="1:6">
      <c r="A15" s="8" t="s">
        <v>7</v>
      </c>
      <c r="B15" s="9">
        <v>163.58067648344002</v>
      </c>
      <c r="C15" s="9">
        <v>997.06624515366002</v>
      </c>
      <c r="D15" s="9">
        <v>1462.2324164491863</v>
      </c>
      <c r="E15" s="9">
        <v>895.15147791436152</v>
      </c>
      <c r="F15" s="9">
        <v>3518.0308160006475</v>
      </c>
    </row>
    <row r="17" spans="1:11">
      <c r="B17" s="2"/>
    </row>
    <row r="18" spans="1:11">
      <c r="A18" s="7" t="s">
        <v>21</v>
      </c>
      <c r="B18" s="8" t="s">
        <v>16</v>
      </c>
      <c r="C18" s="8" t="s">
        <v>17</v>
      </c>
      <c r="D18" s="8" t="s">
        <v>18</v>
      </c>
      <c r="E18" s="8" t="s">
        <v>19</v>
      </c>
      <c r="F18" s="8" t="s">
        <v>7</v>
      </c>
    </row>
    <row r="19" spans="1:11">
      <c r="A19" s="8" t="s">
        <v>34</v>
      </c>
      <c r="B19" s="6">
        <v>34.04815773568</v>
      </c>
      <c r="C19" s="6">
        <v>234.89613539617358</v>
      </c>
      <c r="D19" s="6">
        <v>209.33708099610863</v>
      </c>
      <c r="E19" s="6">
        <v>104.11794001701797</v>
      </c>
      <c r="F19" s="9">
        <v>582.39931414498017</v>
      </c>
    </row>
    <row r="20" spans="1:11">
      <c r="A20" s="8" t="s">
        <v>65</v>
      </c>
      <c r="B20" s="6">
        <v>18.837365673998775</v>
      </c>
      <c r="C20" s="6">
        <v>75.853483725010008</v>
      </c>
      <c r="D20" s="6">
        <v>184.59004796314176</v>
      </c>
      <c r="E20" s="6">
        <v>40.802878657250005</v>
      </c>
      <c r="F20" s="9">
        <v>320.08377601940055</v>
      </c>
    </row>
    <row r="21" spans="1:11">
      <c r="A21" s="8" t="s">
        <v>7</v>
      </c>
      <c r="B21" s="9">
        <v>52.885523409678775</v>
      </c>
      <c r="C21" s="9">
        <v>310.74961912118357</v>
      </c>
      <c r="D21" s="9">
        <v>393.92712895925041</v>
      </c>
      <c r="E21" s="9">
        <v>144.92081867426799</v>
      </c>
      <c r="F21" s="9">
        <v>902.48309016438077</v>
      </c>
    </row>
    <row r="23" spans="1:11">
      <c r="A23" s="3"/>
    </row>
    <row r="30" spans="1:11">
      <c r="K30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51B6-1ECE-FC4E-BB5F-772C29D17626}">
  <dimension ref="A1:F8"/>
  <sheetViews>
    <sheetView workbookViewId="0"/>
  </sheetViews>
  <sheetFormatPr baseColWidth="10" defaultColWidth="8.83203125" defaultRowHeight="15"/>
  <cols>
    <col min="1" max="1" width="21.1640625" customWidth="1"/>
    <col min="2" max="6" width="15.83203125" bestFit="1" customWidth="1"/>
    <col min="7" max="7" width="12.1640625" bestFit="1" customWidth="1"/>
    <col min="8" max="8" width="12.33203125" bestFit="1" customWidth="1"/>
    <col min="9" max="9" width="14.83203125" bestFit="1" customWidth="1"/>
    <col min="10" max="13" width="13.33203125" bestFit="1" customWidth="1"/>
  </cols>
  <sheetData>
    <row r="1" spans="1:6">
      <c r="A1" t="s">
        <v>22</v>
      </c>
    </row>
    <row r="2" spans="1:6">
      <c r="A2" t="s">
        <v>23</v>
      </c>
    </row>
    <row r="3" spans="1:6">
      <c r="A3" s="31" t="s">
        <v>66</v>
      </c>
      <c r="B3" s="32">
        <v>2019</v>
      </c>
      <c r="C3" s="32">
        <v>2020</v>
      </c>
      <c r="D3" s="32">
        <v>2021</v>
      </c>
      <c r="E3" s="32">
        <v>2022</v>
      </c>
      <c r="F3" s="32">
        <v>2023</v>
      </c>
    </row>
    <row r="4" spans="1:6">
      <c r="A4" s="4" t="s">
        <v>16</v>
      </c>
      <c r="B4" s="10">
        <v>1</v>
      </c>
      <c r="C4" s="11">
        <v>0.81959460402198547</v>
      </c>
      <c r="D4" s="11">
        <v>0.76292050432272596</v>
      </c>
      <c r="E4" s="11">
        <v>0.72570770652373395</v>
      </c>
      <c r="F4" s="11">
        <v>0.49855808482180364</v>
      </c>
    </row>
    <row r="5" spans="1:6">
      <c r="A5" s="4" t="s">
        <v>17</v>
      </c>
      <c r="B5" s="10">
        <v>1</v>
      </c>
      <c r="C5" s="11">
        <v>0.91407590107928582</v>
      </c>
      <c r="D5" s="11">
        <v>0.98306914799206657</v>
      </c>
      <c r="E5" s="11">
        <v>1.0174251654898996</v>
      </c>
      <c r="F5" s="11">
        <v>0.87433869088501248</v>
      </c>
    </row>
    <row r="6" spans="1:6">
      <c r="A6" s="4" t="s">
        <v>18</v>
      </c>
      <c r="B6" s="10">
        <v>1</v>
      </c>
      <c r="C6" s="11">
        <v>0.98142568596661706</v>
      </c>
      <c r="D6" s="11">
        <v>1.1617844759219664</v>
      </c>
      <c r="E6" s="11">
        <v>1.2858683229007981</v>
      </c>
      <c r="F6" s="11">
        <v>1.187758181830266</v>
      </c>
    </row>
    <row r="7" spans="1:6">
      <c r="A7" s="4" t="s">
        <v>19</v>
      </c>
      <c r="B7" s="10">
        <v>1</v>
      </c>
      <c r="C7" s="11">
        <v>1.1959869980329021</v>
      </c>
      <c r="D7" s="11">
        <v>1.5282749820920047</v>
      </c>
      <c r="E7" s="11">
        <v>1.9540951649579639</v>
      </c>
      <c r="F7" s="11">
        <v>2.1541159373870928</v>
      </c>
    </row>
    <row r="8" spans="1:6">
      <c r="A8" s="8" t="s">
        <v>7</v>
      </c>
      <c r="B8" s="12">
        <v>1</v>
      </c>
      <c r="C8" s="13">
        <v>0.96834763785128042</v>
      </c>
      <c r="D8" s="13">
        <v>1.1032393884680078</v>
      </c>
      <c r="E8" s="13">
        <v>1.2177385165473733</v>
      </c>
      <c r="F8" s="13">
        <v>1.1293426836556879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0B2E-5E82-4B46-A73C-90F2D6A536D1}">
  <dimension ref="B3:H13"/>
  <sheetViews>
    <sheetView workbookViewId="0"/>
  </sheetViews>
  <sheetFormatPr baseColWidth="10" defaultColWidth="8.83203125" defaultRowHeight="15"/>
  <cols>
    <col min="2" max="2" width="21" customWidth="1"/>
    <col min="3" max="3" width="23.5" customWidth="1"/>
    <col min="4" max="4" width="19.5" customWidth="1"/>
    <col min="5" max="5" width="20.83203125" customWidth="1"/>
    <col min="6" max="6" width="20.1640625" customWidth="1"/>
    <col min="8" max="8" width="10.6640625" bestFit="1" customWidth="1"/>
  </cols>
  <sheetData>
    <row r="3" spans="2:8" ht="16" thickBot="1"/>
    <row r="4" spans="2:8" ht="30" customHeight="1" thickBot="1">
      <c r="B4" s="43" t="s">
        <v>26</v>
      </c>
      <c r="C4" s="45" t="s">
        <v>24</v>
      </c>
      <c r="D4" s="46"/>
      <c r="E4" s="45" t="s">
        <v>25</v>
      </c>
      <c r="F4" s="46"/>
    </row>
    <row r="5" spans="2:8" ht="33" thickBot="1">
      <c r="B5" s="44"/>
      <c r="C5" s="14" t="s">
        <v>27</v>
      </c>
      <c r="D5" s="14" t="s">
        <v>32</v>
      </c>
      <c r="E5" s="14" t="s">
        <v>28</v>
      </c>
      <c r="F5" s="14" t="s">
        <v>29</v>
      </c>
    </row>
    <row r="6" spans="2:8" ht="17">
      <c r="B6" s="15" t="s">
        <v>33</v>
      </c>
      <c r="C6" s="16" t="s">
        <v>16</v>
      </c>
      <c r="D6" s="16" t="s">
        <v>17</v>
      </c>
      <c r="E6" s="16" t="s">
        <v>18</v>
      </c>
      <c r="F6" s="16" t="s">
        <v>19</v>
      </c>
    </row>
    <row r="7" spans="2:8" ht="37.5" customHeight="1">
      <c r="B7" s="17" t="s">
        <v>30</v>
      </c>
      <c r="C7" s="18" t="s">
        <v>70</v>
      </c>
      <c r="D7" s="18" t="s">
        <v>72</v>
      </c>
      <c r="E7" s="18" t="s">
        <v>71</v>
      </c>
      <c r="F7" s="19" t="s">
        <v>69</v>
      </c>
    </row>
    <row r="8" spans="2:8" ht="38.25" customHeight="1">
      <c r="B8" s="17" t="s">
        <v>31</v>
      </c>
      <c r="C8" s="18" t="s">
        <v>77</v>
      </c>
      <c r="D8" s="18" t="s">
        <v>76</v>
      </c>
      <c r="E8" s="18" t="s">
        <v>75</v>
      </c>
      <c r="F8" s="18" t="s">
        <v>74</v>
      </c>
    </row>
    <row r="9" spans="2:8" ht="114" customHeight="1">
      <c r="B9" s="29" t="s">
        <v>60</v>
      </c>
      <c r="C9" s="30" t="s">
        <v>62</v>
      </c>
      <c r="D9" s="30" t="s">
        <v>61</v>
      </c>
      <c r="E9" s="30" t="s">
        <v>63</v>
      </c>
      <c r="F9" s="30" t="s">
        <v>64</v>
      </c>
    </row>
    <row r="13" spans="2:8">
      <c r="H13" s="41"/>
    </row>
  </sheetData>
  <mergeCells count="3">
    <mergeCell ref="B4:B5"/>
    <mergeCell ref="C4:D4"/>
    <mergeCell ref="E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827F-C303-4ADF-B1C9-F58C2B2A4BDD}">
  <dimension ref="B4:G19"/>
  <sheetViews>
    <sheetView workbookViewId="0"/>
  </sheetViews>
  <sheetFormatPr baseColWidth="10" defaultColWidth="8.83203125" defaultRowHeight="15"/>
  <cols>
    <col min="2" max="2" width="26.6640625" customWidth="1"/>
  </cols>
  <sheetData>
    <row r="4" spans="2:7">
      <c r="B4" s="22"/>
      <c r="C4" s="23">
        <v>2019</v>
      </c>
      <c r="D4" s="23">
        <v>2020</v>
      </c>
      <c r="E4" s="24">
        <v>2021</v>
      </c>
      <c r="F4" s="24">
        <v>2022</v>
      </c>
      <c r="G4" s="24">
        <v>2023</v>
      </c>
    </row>
    <row r="5" spans="2:7">
      <c r="B5" s="33" t="s">
        <v>67</v>
      </c>
      <c r="C5" s="34"/>
      <c r="D5" s="34">
        <v>3.4000000000000002E-2</v>
      </c>
      <c r="E5" s="34">
        <v>5.0999999999999997E-2</v>
      </c>
      <c r="F5" s="34">
        <v>0.14399999999999999</v>
      </c>
      <c r="G5" s="35">
        <v>0.114</v>
      </c>
    </row>
    <row r="6" spans="2:7">
      <c r="B6" s="4" t="s">
        <v>68</v>
      </c>
      <c r="C6" s="36">
        <v>1</v>
      </c>
      <c r="D6" s="36">
        <v>1.034</v>
      </c>
      <c r="E6" s="36">
        <f>D6*(1+E5)</f>
        <v>1.0867339999999999</v>
      </c>
      <c r="F6" s="36">
        <f t="shared" ref="F6:G6" si="0">E6*(1+F5)</f>
        <v>1.2432236959999998</v>
      </c>
      <c r="G6" s="36">
        <f t="shared" si="0"/>
        <v>1.3849511973439999</v>
      </c>
    </row>
    <row r="10" spans="2:7">
      <c r="G10" s="37">
        <v>0.38500000000000001</v>
      </c>
    </row>
    <row r="11" spans="2:7">
      <c r="G11" s="39">
        <f>(1+G10)^4-1</f>
        <v>2.6795871506250002</v>
      </c>
    </row>
    <row r="13" spans="2:7">
      <c r="E13" s="38">
        <v>0</v>
      </c>
      <c r="F13" s="37">
        <v>8.5000000000000006E-2</v>
      </c>
      <c r="G13" s="37">
        <v>0.2</v>
      </c>
    </row>
    <row r="14" spans="2:7">
      <c r="E14" s="40">
        <v>0</v>
      </c>
      <c r="F14" s="40">
        <f>(1+F13)^4</f>
        <v>1.3858587006249998</v>
      </c>
      <c r="G14" s="40">
        <f>(1+G13)^4</f>
        <v>2.0735999999999999</v>
      </c>
    </row>
    <row r="16" spans="2:7">
      <c r="B16" t="s">
        <v>73</v>
      </c>
      <c r="E16" s="37">
        <v>8.5000000000000006E-2</v>
      </c>
      <c r="F16" s="37">
        <v>8.5000000000000006E-2</v>
      </c>
      <c r="G16" s="37">
        <v>8.5000000000000006E-2</v>
      </c>
    </row>
    <row r="18" spans="5:7">
      <c r="E18" s="37">
        <f>E13-E16</f>
        <v>-8.5000000000000006E-2</v>
      </c>
      <c r="F18" s="37">
        <f>F13-F16</f>
        <v>0</v>
      </c>
      <c r="G18" s="37">
        <f>G13-G16</f>
        <v>0.115</v>
      </c>
    </row>
    <row r="19" spans="5:7">
      <c r="E19" s="42">
        <f>(1+E18)^4</f>
        <v>0.70094570062500017</v>
      </c>
      <c r="F19" s="42">
        <f>(1+F18)^4</f>
        <v>1</v>
      </c>
      <c r="G19" s="42">
        <f>(1+G18)^4</f>
        <v>1.5456084006250002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CE2A-F699-B149-9AD7-B339E7D88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Blok 1</vt:lpstr>
      <vt:lpstr>Blok 2</vt:lpstr>
      <vt:lpstr>Blok 3</vt:lpstr>
      <vt:lpstr>Blok 4</vt:lpstr>
      <vt:lpstr>Progi odporności</vt:lpstr>
      <vt:lpstr>Inflacja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2025-12-12T17:17:37Z</dcterms:modified>
</cp:coreProperties>
</file>