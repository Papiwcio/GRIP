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61" documentId="8_{3E9F4A4C-7F70-5541-AF27-246FDF2907B9}" xr6:coauthVersionLast="47" xr6:coauthVersionMax="47" xr10:uidLastSave="{FE46F800-DD00-CE48-BC98-CA359D974D0A}"/>
  <bookViews>
    <workbookView xWindow="0" yWindow="780" windowWidth="34200" windowHeight="19940" activeTab="1" xr2:uid="{3FE17D7B-AA6D-9B42-BF04-BC29471DA919}"/>
  </bookViews>
  <sheets>
    <sheet name="Lista 2022" sheetId="1" r:id="rId1"/>
    <sheet name="Lista 201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33" i="2"/>
  <c r="H33" i="2"/>
  <c r="G33" i="2"/>
  <c r="I32" i="2"/>
  <c r="H32" i="2"/>
  <c r="G32" i="2"/>
  <c r="I31" i="2"/>
  <c r="H31" i="2"/>
  <c r="G31" i="2"/>
  <c r="N28" i="2"/>
  <c r="M28" i="2"/>
  <c r="L28" i="2"/>
  <c r="I28" i="2"/>
  <c r="H28" i="2"/>
  <c r="G28" i="2"/>
  <c r="N27" i="2"/>
  <c r="M27" i="2"/>
  <c r="L27" i="2"/>
  <c r="I27" i="2"/>
  <c r="H27" i="2"/>
  <c r="G27" i="2"/>
  <c r="N26" i="2"/>
  <c r="M26" i="2"/>
  <c r="L26" i="2"/>
  <c r="I26" i="2"/>
  <c r="H26" i="2"/>
  <c r="G26" i="2"/>
  <c r="N25" i="2"/>
  <c r="M25" i="2"/>
  <c r="L25" i="2"/>
  <c r="I25" i="2"/>
  <c r="H25" i="2"/>
  <c r="G25" i="2"/>
  <c r="N24" i="2"/>
  <c r="M24" i="2"/>
  <c r="L24" i="2"/>
  <c r="I24" i="2"/>
  <c r="H24" i="2"/>
  <c r="G24" i="2"/>
  <c r="N21" i="2"/>
  <c r="M21" i="2"/>
  <c r="L21" i="2"/>
  <c r="I21" i="2"/>
  <c r="H21" i="2"/>
  <c r="G21" i="2"/>
  <c r="N20" i="2"/>
  <c r="M20" i="2"/>
  <c r="L20" i="2"/>
  <c r="I20" i="2"/>
  <c r="H20" i="2"/>
  <c r="G20" i="2"/>
  <c r="N19" i="2"/>
  <c r="M19" i="2"/>
  <c r="L19" i="2"/>
  <c r="I19" i="2"/>
  <c r="H19" i="2"/>
  <c r="G19" i="2"/>
  <c r="N18" i="2"/>
  <c r="M18" i="2"/>
  <c r="L18" i="2"/>
  <c r="I18" i="2"/>
  <c r="H18" i="2"/>
  <c r="G18" i="2"/>
  <c r="N17" i="2"/>
  <c r="M17" i="2"/>
  <c r="L17" i="2"/>
  <c r="I17" i="2"/>
  <c r="H17" i="2"/>
  <c r="G17" i="2"/>
  <c r="N14" i="2"/>
  <c r="M14" i="2"/>
  <c r="L14" i="2"/>
  <c r="I14" i="2"/>
  <c r="H14" i="2"/>
  <c r="G14" i="2"/>
  <c r="N13" i="2"/>
  <c r="M13" i="2"/>
  <c r="L13" i="2"/>
  <c r="I13" i="2"/>
  <c r="H13" i="2"/>
  <c r="G13" i="2"/>
  <c r="N12" i="2"/>
  <c r="M12" i="2"/>
  <c r="L12" i="2"/>
  <c r="I12" i="2"/>
  <c r="H12" i="2"/>
  <c r="G12" i="2"/>
  <c r="AF11" i="2"/>
  <c r="AE11" i="2"/>
  <c r="AD11" i="2"/>
  <c r="Z11" i="2"/>
  <c r="Y11" i="2"/>
  <c r="X11" i="2"/>
  <c r="N11" i="2"/>
  <c r="M11" i="2"/>
  <c r="L11" i="2"/>
  <c r="I11" i="2"/>
  <c r="H11" i="2"/>
  <c r="G11" i="2"/>
  <c r="AF10" i="2"/>
  <c r="AE10" i="2"/>
  <c r="AD10" i="2"/>
  <c r="Z10" i="2"/>
  <c r="Y10" i="2"/>
  <c r="X10" i="2"/>
  <c r="N10" i="2"/>
  <c r="M10" i="2"/>
  <c r="L10" i="2"/>
  <c r="I10" i="2"/>
  <c r="H10" i="2"/>
  <c r="G10" i="2"/>
  <c r="AF9" i="2"/>
  <c r="AE9" i="2"/>
  <c r="AD9" i="2"/>
  <c r="Z9" i="2"/>
  <c r="Y9" i="2"/>
  <c r="X9" i="2"/>
  <c r="AF8" i="2"/>
  <c r="AE8" i="2"/>
  <c r="AD8" i="2"/>
  <c r="Z8" i="2"/>
  <c r="Y8" i="2"/>
  <c r="X8" i="2"/>
  <c r="AF7" i="2"/>
  <c r="AE7" i="2"/>
  <c r="AD7" i="2"/>
  <c r="Z7" i="2"/>
  <c r="Y7" i="2"/>
  <c r="X7" i="2"/>
  <c r="N7" i="2"/>
  <c r="M7" i="2"/>
  <c r="L7" i="2"/>
  <c r="AF6" i="2"/>
  <c r="AE6" i="2"/>
  <c r="AD6" i="2"/>
  <c r="Z6" i="2"/>
  <c r="Y6" i="2"/>
  <c r="X6" i="2"/>
  <c r="N6" i="2"/>
  <c r="M6" i="2"/>
  <c r="L6" i="2"/>
  <c r="AF5" i="2"/>
  <c r="AE5" i="2"/>
  <c r="AD5" i="2"/>
  <c r="Z5" i="2"/>
  <c r="Y5" i="2"/>
  <c r="X5" i="2"/>
  <c r="N5" i="2"/>
  <c r="M5" i="2"/>
  <c r="L5" i="2"/>
  <c r="AF4" i="2"/>
  <c r="AE4" i="2"/>
  <c r="AD4" i="2"/>
  <c r="Z4" i="2"/>
  <c r="Y4" i="2"/>
  <c r="X4" i="2"/>
  <c r="N4" i="2"/>
  <c r="M4" i="2"/>
  <c r="L4" i="2"/>
  <c r="AF3" i="2"/>
  <c r="AE3" i="2"/>
  <c r="AD3" i="2"/>
  <c r="Z3" i="2"/>
  <c r="Y3" i="2"/>
  <c r="X3" i="2"/>
  <c r="N3" i="2"/>
  <c r="M3" i="2"/>
  <c r="L3" i="2"/>
  <c r="I33" i="1"/>
  <c r="H33" i="1"/>
  <c r="G33" i="1"/>
  <c r="I32" i="1"/>
  <c r="H32" i="1"/>
  <c r="G32" i="1"/>
  <c r="I31" i="1"/>
  <c r="H31" i="1"/>
  <c r="G31" i="1"/>
  <c r="AF11" i="1"/>
  <c r="AE11" i="1"/>
  <c r="AD11" i="1"/>
  <c r="AF10" i="1"/>
  <c r="AE10" i="1"/>
  <c r="AD10" i="1"/>
  <c r="AF9" i="1"/>
  <c r="AE9" i="1"/>
  <c r="AD9" i="1"/>
  <c r="AF8" i="1"/>
  <c r="AE8" i="1"/>
  <c r="AD8" i="1"/>
  <c r="AF7" i="1"/>
  <c r="AE7" i="1"/>
  <c r="AD7" i="1"/>
  <c r="AF6" i="1"/>
  <c r="AE6" i="1"/>
  <c r="AD6" i="1"/>
  <c r="AF5" i="1"/>
  <c r="AE5" i="1"/>
  <c r="AD5" i="1"/>
  <c r="AF4" i="1"/>
  <c r="AE4" i="1"/>
  <c r="AD4" i="1"/>
  <c r="AF3" i="1"/>
  <c r="AE3" i="1"/>
  <c r="AD3" i="1"/>
  <c r="Z11" i="1"/>
  <c r="Y11" i="1"/>
  <c r="X11" i="1"/>
  <c r="Z10" i="1"/>
  <c r="Y10" i="1"/>
  <c r="X10" i="1"/>
  <c r="Z9" i="1"/>
  <c r="Y9" i="1"/>
  <c r="X9" i="1"/>
  <c r="Z8" i="1"/>
  <c r="Y8" i="1"/>
  <c r="X8" i="1"/>
  <c r="Z7" i="1"/>
  <c r="Y7" i="1"/>
  <c r="X7" i="1"/>
  <c r="Z6" i="1"/>
  <c r="Y6" i="1"/>
  <c r="X6" i="1"/>
  <c r="Z5" i="1"/>
  <c r="Y5" i="1"/>
  <c r="X5" i="1"/>
  <c r="Z4" i="1"/>
  <c r="Y4" i="1"/>
  <c r="X4" i="1"/>
  <c r="Z3" i="1"/>
  <c r="Y3" i="1"/>
  <c r="X3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</calcChain>
</file>

<file path=xl/sharedStrings.xml><?xml version="1.0" encoding="utf-8"?>
<sst xmlns="http://schemas.openxmlformats.org/spreadsheetml/2006/main" count="390" uniqueCount="27">
  <si>
    <t>Growth_Category</t>
  </si>
  <si>
    <t>F</t>
  </si>
  <si>
    <t>P</t>
  </si>
  <si>
    <t>Total</t>
  </si>
  <si>
    <t>G0</t>
  </si>
  <si>
    <t>G1</t>
  </si>
  <si>
    <t>G2</t>
  </si>
  <si>
    <t>G3</t>
  </si>
  <si>
    <t>Count</t>
  </si>
  <si>
    <t>Sales</t>
  </si>
  <si>
    <t>Mean Sales</t>
  </si>
  <si>
    <t>Net Profit</t>
  </si>
  <si>
    <t>Zagraniczne</t>
  </si>
  <si>
    <t>Polskie</t>
  </si>
  <si>
    <t>Razem</t>
  </si>
  <si>
    <t>Kategoria wzrostu</t>
  </si>
  <si>
    <t>% within category</t>
  </si>
  <si>
    <t>% of total</t>
  </si>
  <si>
    <t>Hint</t>
  </si>
  <si>
    <t>No</t>
  </si>
  <si>
    <t>Yes</t>
  </si>
  <si>
    <t>Poziom umiędyznarodowienia</t>
  </si>
  <si>
    <t>Nie</t>
  </si>
  <si>
    <t>Tak</t>
  </si>
  <si>
    <t>EG0</t>
  </si>
  <si>
    <t>EG1</t>
  </si>
  <si>
    <t>EG2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</si>
</sst>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43" fontId="0" fillId="0" borderId="0" xfId="1" applyFont="1" applyFill="1" applyBorder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34FC-6EC3-D342-9D78-D57748D494DF}">
  <dimension ref="A1:AF40"/>
  <sheetViews>
    <sheetView workbookViewId="0"/>
  </sheetViews>
  <sheetFormatPr baseColWidth="10" defaultRowHeight="16" x14ac:dyDescent="0.2"/>
  <cols>
    <col min="1" max="1" width="24.5" bestFit="1" customWidth="1"/>
    <col min="2" max="4" width="13.5" bestFit="1" customWidth="1"/>
    <col min="6" max="6" width="24.5" bestFit="1" customWidth="1"/>
    <col min="11" max="11" width="14.83203125" bestFit="1" customWidth="1"/>
    <col min="16" max="16" width="14.6640625" bestFit="1" customWidth="1"/>
    <col min="22" max="22" width="15.33203125" bestFit="1" customWidth="1"/>
    <col min="28" max="28" width="15.33203125" bestFit="1" customWidth="1"/>
  </cols>
  <sheetData>
    <row r="1" spans="1:32" x14ac:dyDescent="0.2">
      <c r="A1" t="s">
        <v>8</v>
      </c>
      <c r="F1" t="s">
        <v>16</v>
      </c>
      <c r="K1" t="s">
        <v>17</v>
      </c>
      <c r="P1" t="s">
        <v>8</v>
      </c>
      <c r="V1" t="s">
        <v>16</v>
      </c>
      <c r="AB1" t="s">
        <v>17</v>
      </c>
    </row>
    <row r="2" spans="1:32" x14ac:dyDescent="0.2">
      <c r="A2" s="1" t="s">
        <v>15</v>
      </c>
      <c r="B2" s="1" t="s">
        <v>12</v>
      </c>
      <c r="C2" s="1" t="s">
        <v>13</v>
      </c>
      <c r="D2" s="1" t="s">
        <v>14</v>
      </c>
      <c r="F2" s="1" t="s">
        <v>15</v>
      </c>
      <c r="G2" s="1" t="s">
        <v>12</v>
      </c>
      <c r="H2" s="1" t="s">
        <v>13</v>
      </c>
      <c r="I2" s="1" t="s">
        <v>14</v>
      </c>
      <c r="K2" s="1" t="s">
        <v>15</v>
      </c>
      <c r="L2" s="1" t="s">
        <v>12</v>
      </c>
      <c r="M2" s="1" t="s">
        <v>13</v>
      </c>
      <c r="N2" s="1" t="s">
        <v>14</v>
      </c>
      <c r="P2" s="1" t="s">
        <v>0</v>
      </c>
      <c r="Q2" s="1" t="s">
        <v>18</v>
      </c>
      <c r="R2" s="1" t="s">
        <v>1</v>
      </c>
      <c r="S2" s="1" t="s">
        <v>2</v>
      </c>
      <c r="T2" s="1" t="s">
        <v>3</v>
      </c>
      <c r="V2" s="1" t="s">
        <v>0</v>
      </c>
      <c r="W2" s="1" t="s">
        <v>18</v>
      </c>
      <c r="X2" s="1" t="s">
        <v>12</v>
      </c>
      <c r="Y2" s="1" t="s">
        <v>13</v>
      </c>
      <c r="Z2" s="1" t="s">
        <v>14</v>
      </c>
      <c r="AB2" s="1" t="s">
        <v>0</v>
      </c>
      <c r="AC2" s="1" t="s">
        <v>18</v>
      </c>
      <c r="AD2" s="1" t="s">
        <v>12</v>
      </c>
      <c r="AE2" s="1" t="s">
        <v>13</v>
      </c>
      <c r="AF2" s="1" t="s">
        <v>14</v>
      </c>
    </row>
    <row r="3" spans="1:32" x14ac:dyDescent="0.2">
      <c r="A3" s="1" t="s">
        <v>4</v>
      </c>
      <c r="B3">
        <v>242</v>
      </c>
      <c r="C3">
        <v>179</v>
      </c>
      <c r="D3">
        <v>421</v>
      </c>
      <c r="F3" s="1" t="s">
        <v>4</v>
      </c>
      <c r="G3" s="2">
        <v>29.051620648259298</v>
      </c>
      <c r="H3" s="2">
        <v>17.412451361867699</v>
      </c>
      <c r="I3" s="2">
        <v>22.622246104245029</v>
      </c>
      <c r="K3" s="1" t="s">
        <v>4</v>
      </c>
      <c r="L3" s="2">
        <f>B3/$D$7*100</f>
        <v>13.003761418592156</v>
      </c>
      <c r="M3" s="2">
        <f t="shared" ref="M3:M7" si="0">C3/$D$7*100</f>
        <v>9.6184846856528736</v>
      </c>
      <c r="N3" s="2">
        <f t="shared" ref="N3:N7" si="1">D3/$D$7*100</f>
        <v>22.622246104245029</v>
      </c>
      <c r="P3" s="1" t="s">
        <v>4</v>
      </c>
      <c r="Q3" s="1" t="s">
        <v>19</v>
      </c>
      <c r="R3">
        <v>116</v>
      </c>
      <c r="S3">
        <v>136</v>
      </c>
      <c r="T3">
        <v>252</v>
      </c>
      <c r="V3" s="1" t="s">
        <v>4</v>
      </c>
      <c r="W3" s="1" t="s">
        <v>19</v>
      </c>
      <c r="X3" s="2">
        <f>R3/R$11*100</f>
        <v>13.925570228091235</v>
      </c>
      <c r="Y3" s="2">
        <f t="shared" ref="Y3:Y11" si="2">S3/S$11*100</f>
        <v>13.229571984435799</v>
      </c>
      <c r="Z3" s="2">
        <f t="shared" ref="Z3:Z11" si="3">T3/T$11*100</f>
        <v>13.541106931757119</v>
      </c>
      <c r="AB3" s="1" t="s">
        <v>4</v>
      </c>
      <c r="AC3" s="1" t="s">
        <v>19</v>
      </c>
      <c r="AD3" s="2">
        <f>R3/$T$11*100</f>
        <v>6.2332079527135953</v>
      </c>
      <c r="AE3" s="2">
        <f t="shared" ref="AE3:AE11" si="4">S3/$T$11*100</f>
        <v>7.3078989790435251</v>
      </c>
      <c r="AF3" s="2">
        <f t="shared" ref="AF3:AF11" si="5">T3/$T$11*100</f>
        <v>13.541106931757119</v>
      </c>
    </row>
    <row r="4" spans="1:32" x14ac:dyDescent="0.2">
      <c r="A4" s="1" t="s">
        <v>5</v>
      </c>
      <c r="B4">
        <v>321</v>
      </c>
      <c r="C4">
        <v>311</v>
      </c>
      <c r="D4">
        <v>632</v>
      </c>
      <c r="F4" s="1" t="s">
        <v>5</v>
      </c>
      <c r="G4" s="2">
        <v>38.535414165666268</v>
      </c>
      <c r="H4" s="2">
        <v>30.252918287937739</v>
      </c>
      <c r="I4" s="2">
        <v>33.960236432025788</v>
      </c>
      <c r="K4" s="1" t="s">
        <v>5</v>
      </c>
      <c r="L4" s="2">
        <f t="shared" ref="L4:L7" si="6">B4/$D$7*100</f>
        <v>17.24879097259538</v>
      </c>
      <c r="M4" s="2">
        <f t="shared" si="0"/>
        <v>16.711445459430411</v>
      </c>
      <c r="N4" s="2">
        <f t="shared" si="1"/>
        <v>33.960236432025795</v>
      </c>
      <c r="P4" s="1"/>
      <c r="Q4" s="1" t="s">
        <v>20</v>
      </c>
      <c r="R4">
        <v>126</v>
      </c>
      <c r="S4">
        <v>43</v>
      </c>
      <c r="T4">
        <v>169</v>
      </c>
      <c r="V4" s="1"/>
      <c r="W4" s="1" t="s">
        <v>20</v>
      </c>
      <c r="X4" s="2">
        <f t="shared" ref="X4:X11" si="7">R4/R$11*100</f>
        <v>15.126050420168067</v>
      </c>
      <c r="Y4" s="2">
        <f t="shared" si="2"/>
        <v>4.182879377431906</v>
      </c>
      <c r="Z4" s="2">
        <f t="shared" si="3"/>
        <v>9.0811391724879087</v>
      </c>
      <c r="AB4" s="1"/>
      <c r="AC4" s="1" t="s">
        <v>20</v>
      </c>
      <c r="AD4" s="2">
        <f t="shared" ref="AD4:AD11" si="8">R4/$T$11*100</f>
        <v>6.7705534658785593</v>
      </c>
      <c r="AE4" s="2">
        <f t="shared" si="4"/>
        <v>2.3105857066093498</v>
      </c>
      <c r="AF4" s="2">
        <f t="shared" si="5"/>
        <v>9.0811391724879087</v>
      </c>
    </row>
    <row r="5" spans="1:32" x14ac:dyDescent="0.2">
      <c r="A5" s="1" t="s">
        <v>6</v>
      </c>
      <c r="B5">
        <v>151</v>
      </c>
      <c r="C5">
        <v>262</v>
      </c>
      <c r="D5">
        <v>413</v>
      </c>
      <c r="F5" s="1" t="s">
        <v>6</v>
      </c>
      <c r="G5" s="2">
        <v>18.127250900360149</v>
      </c>
      <c r="H5" s="2">
        <v>25.4863813229572</v>
      </c>
      <c r="I5" s="2">
        <v>22.192369693713061</v>
      </c>
      <c r="K5" s="1" t="s">
        <v>6</v>
      </c>
      <c r="L5" s="2">
        <f t="shared" si="6"/>
        <v>8.1139172487909725</v>
      </c>
      <c r="M5" s="2">
        <f t="shared" si="0"/>
        <v>14.078452444922085</v>
      </c>
      <c r="N5" s="2">
        <f t="shared" si="1"/>
        <v>22.192369693713058</v>
      </c>
      <c r="P5" s="1" t="s">
        <v>5</v>
      </c>
      <c r="Q5" s="1" t="s">
        <v>19</v>
      </c>
      <c r="R5">
        <v>153</v>
      </c>
      <c r="S5">
        <v>204</v>
      </c>
      <c r="T5">
        <v>357</v>
      </c>
      <c r="V5" s="1" t="s">
        <v>5</v>
      </c>
      <c r="W5" s="1" t="s">
        <v>19</v>
      </c>
      <c r="X5" s="2">
        <f t="shared" si="7"/>
        <v>18.367346938775512</v>
      </c>
      <c r="Y5" s="2">
        <f t="shared" si="2"/>
        <v>19.844357976653697</v>
      </c>
      <c r="Z5" s="2">
        <f t="shared" si="3"/>
        <v>19.183234819989252</v>
      </c>
      <c r="AB5" s="1" t="s">
        <v>5</v>
      </c>
      <c r="AC5" s="1" t="s">
        <v>19</v>
      </c>
      <c r="AD5" s="2">
        <f t="shared" si="8"/>
        <v>8.2213863514239662</v>
      </c>
      <c r="AE5" s="2">
        <f t="shared" si="4"/>
        <v>10.961848468565288</v>
      </c>
      <c r="AF5" s="2">
        <f t="shared" si="5"/>
        <v>19.183234819989252</v>
      </c>
    </row>
    <row r="6" spans="1:32" x14ac:dyDescent="0.2">
      <c r="A6" s="1" t="s">
        <v>7</v>
      </c>
      <c r="B6">
        <v>119</v>
      </c>
      <c r="C6">
        <v>276</v>
      </c>
      <c r="D6">
        <v>395</v>
      </c>
      <c r="F6" s="1" t="s">
        <v>7</v>
      </c>
      <c r="G6" s="2">
        <v>14.285714285714279</v>
      </c>
      <c r="H6" s="2">
        <v>26.848249027237351</v>
      </c>
      <c r="I6" s="2">
        <v>21.225147770016122</v>
      </c>
      <c r="K6" s="1" t="s">
        <v>7</v>
      </c>
      <c r="L6" s="2">
        <f t="shared" si="6"/>
        <v>6.3944116066630849</v>
      </c>
      <c r="M6" s="2">
        <f t="shared" si="0"/>
        <v>14.830736163353036</v>
      </c>
      <c r="N6" s="2">
        <f t="shared" si="1"/>
        <v>21.225147770016122</v>
      </c>
      <c r="P6" s="1"/>
      <c r="Q6" s="1" t="s">
        <v>20</v>
      </c>
      <c r="R6">
        <v>168</v>
      </c>
      <c r="S6">
        <v>107</v>
      </c>
      <c r="T6">
        <v>275</v>
      </c>
      <c r="V6" s="1"/>
      <c r="W6" s="1" t="s">
        <v>20</v>
      </c>
      <c r="X6" s="2">
        <f t="shared" si="7"/>
        <v>20.168067226890756</v>
      </c>
      <c r="Y6" s="2">
        <f t="shared" si="2"/>
        <v>10.408560311284047</v>
      </c>
      <c r="Z6" s="2">
        <f t="shared" si="3"/>
        <v>14.777001612036539</v>
      </c>
      <c r="AB6" s="1"/>
      <c r="AC6" s="1" t="s">
        <v>20</v>
      </c>
      <c r="AD6" s="2">
        <f t="shared" si="8"/>
        <v>9.0274046211714136</v>
      </c>
      <c r="AE6" s="2">
        <f t="shared" si="4"/>
        <v>5.7495969908651263</v>
      </c>
      <c r="AF6" s="2">
        <f t="shared" si="5"/>
        <v>14.777001612036539</v>
      </c>
    </row>
    <row r="7" spans="1:32" x14ac:dyDescent="0.2">
      <c r="A7" s="1" t="s">
        <v>14</v>
      </c>
      <c r="B7">
        <v>833</v>
      </c>
      <c r="C7">
        <v>1028</v>
      </c>
      <c r="D7">
        <v>1861</v>
      </c>
      <c r="F7" s="1" t="s">
        <v>14</v>
      </c>
      <c r="G7" s="2">
        <v>100</v>
      </c>
      <c r="H7" s="2">
        <v>100</v>
      </c>
      <c r="I7" s="2">
        <v>100</v>
      </c>
      <c r="K7" s="1" t="s">
        <v>14</v>
      </c>
      <c r="L7" s="2">
        <f t="shared" si="6"/>
        <v>44.760881246641596</v>
      </c>
      <c r="M7" s="2">
        <f t="shared" si="0"/>
        <v>55.239118753358404</v>
      </c>
      <c r="N7" s="2">
        <f t="shared" si="1"/>
        <v>100</v>
      </c>
      <c r="P7" s="1" t="s">
        <v>6</v>
      </c>
      <c r="Q7" s="1" t="s">
        <v>19</v>
      </c>
      <c r="R7">
        <v>72</v>
      </c>
      <c r="S7">
        <v>163</v>
      </c>
      <c r="T7">
        <v>235</v>
      </c>
      <c r="V7" s="1" t="s">
        <v>6</v>
      </c>
      <c r="W7" s="1" t="s">
        <v>19</v>
      </c>
      <c r="X7" s="2">
        <f t="shared" si="7"/>
        <v>8.6434573829531818</v>
      </c>
      <c r="Y7" s="2">
        <f t="shared" si="2"/>
        <v>15.856031128404668</v>
      </c>
      <c r="Z7" s="2">
        <f t="shared" si="3"/>
        <v>12.627619559376679</v>
      </c>
      <c r="AB7" s="1" t="s">
        <v>6</v>
      </c>
      <c r="AC7" s="1" t="s">
        <v>19</v>
      </c>
      <c r="AD7" s="2">
        <f t="shared" si="8"/>
        <v>3.8688876947877482</v>
      </c>
      <c r="AE7" s="2">
        <f t="shared" si="4"/>
        <v>8.7587318645889312</v>
      </c>
      <c r="AF7" s="2">
        <f t="shared" si="5"/>
        <v>12.627619559376679</v>
      </c>
    </row>
    <row r="8" spans="1:32" x14ac:dyDescent="0.2">
      <c r="A8" t="s">
        <v>9</v>
      </c>
      <c r="P8" s="1"/>
      <c r="Q8" s="1" t="s">
        <v>20</v>
      </c>
      <c r="R8">
        <v>79</v>
      </c>
      <c r="S8">
        <v>99</v>
      </c>
      <c r="T8">
        <v>178</v>
      </c>
      <c r="V8" s="1"/>
      <c r="W8" s="1" t="s">
        <v>20</v>
      </c>
      <c r="X8" s="2">
        <f t="shared" si="7"/>
        <v>9.4837935174069639</v>
      </c>
      <c r="Y8" s="2">
        <f t="shared" si="2"/>
        <v>9.6303501945525305</v>
      </c>
      <c r="Z8" s="2">
        <f t="shared" si="3"/>
        <v>9.5647501343363786</v>
      </c>
      <c r="AB8" s="1"/>
      <c r="AC8" s="1" t="s">
        <v>20</v>
      </c>
      <c r="AD8" s="2">
        <f t="shared" si="8"/>
        <v>4.2450295540032243</v>
      </c>
      <c r="AE8" s="2">
        <f t="shared" si="4"/>
        <v>5.3197205803331542</v>
      </c>
      <c r="AF8" s="2">
        <f t="shared" si="5"/>
        <v>9.5647501343363786</v>
      </c>
    </row>
    <row r="9" spans="1:32" x14ac:dyDescent="0.2">
      <c r="A9" s="1" t="s">
        <v>15</v>
      </c>
      <c r="B9" s="1" t="s">
        <v>12</v>
      </c>
      <c r="C9" s="1" t="s">
        <v>13</v>
      </c>
      <c r="D9" s="1" t="s">
        <v>14</v>
      </c>
      <c r="F9" s="1" t="s">
        <v>15</v>
      </c>
      <c r="G9" s="1" t="s">
        <v>12</v>
      </c>
      <c r="H9" s="1" t="s">
        <v>13</v>
      </c>
      <c r="I9" s="1" t="s">
        <v>14</v>
      </c>
      <c r="K9" s="1" t="s">
        <v>15</v>
      </c>
      <c r="L9" s="1" t="s">
        <v>12</v>
      </c>
      <c r="M9" s="1" t="s">
        <v>13</v>
      </c>
      <c r="N9" s="1" t="s">
        <v>14</v>
      </c>
      <c r="P9" s="1" t="s">
        <v>7</v>
      </c>
      <c r="Q9" s="1" t="s">
        <v>19</v>
      </c>
      <c r="R9">
        <v>49</v>
      </c>
      <c r="S9">
        <v>180</v>
      </c>
      <c r="T9">
        <v>229</v>
      </c>
      <c r="V9" s="1" t="s">
        <v>7</v>
      </c>
      <c r="W9" s="1" t="s">
        <v>19</v>
      </c>
      <c r="X9" s="2">
        <f t="shared" si="7"/>
        <v>5.8823529411764701</v>
      </c>
      <c r="Y9" s="2">
        <f t="shared" si="2"/>
        <v>17.509727626459142</v>
      </c>
      <c r="Z9" s="2">
        <f t="shared" si="3"/>
        <v>12.3052122514777</v>
      </c>
      <c r="AB9" s="1" t="s">
        <v>7</v>
      </c>
      <c r="AC9" s="1" t="s">
        <v>19</v>
      </c>
      <c r="AD9" s="2">
        <f t="shared" si="8"/>
        <v>2.6329930145083287</v>
      </c>
      <c r="AE9" s="2">
        <f t="shared" si="4"/>
        <v>9.6722192369693722</v>
      </c>
      <c r="AF9" s="2">
        <f t="shared" si="5"/>
        <v>12.3052122514777</v>
      </c>
    </row>
    <row r="10" spans="1:32" x14ac:dyDescent="0.2">
      <c r="A10" s="1" t="s">
        <v>4</v>
      </c>
      <c r="B10" s="4">
        <v>411248998.93067998</v>
      </c>
      <c r="C10" s="4">
        <v>263537843.32745999</v>
      </c>
      <c r="D10" s="4">
        <v>674786842.25813997</v>
      </c>
      <c r="F10" s="1" t="s">
        <v>4</v>
      </c>
      <c r="G10" s="3">
        <f>B10/B$14*100</f>
        <v>25.138467953334359</v>
      </c>
      <c r="H10" s="3">
        <f t="shared" ref="H10:H14" si="9">C10/C$14*100</f>
        <v>14.824162946140856</v>
      </c>
      <c r="I10" s="3">
        <f t="shared" ref="I10:I14" si="10">D10/D$14*100</f>
        <v>19.767058887781044</v>
      </c>
      <c r="K10" s="1" t="s">
        <v>4</v>
      </c>
      <c r="L10" s="2">
        <f>B10/$D$14*100</f>
        <v>12.047038665128467</v>
      </c>
      <c r="M10" s="2">
        <f t="shared" ref="M10:M14" si="11">C10/$D$14*100</f>
        <v>7.7200202226525789</v>
      </c>
      <c r="N10" s="2">
        <f t="shared" ref="N10:N14" si="12">D10/$D$14*100</f>
        <v>19.767058887781044</v>
      </c>
      <c r="P10" s="1"/>
      <c r="Q10" s="1" t="s">
        <v>20</v>
      </c>
      <c r="R10">
        <v>70</v>
      </c>
      <c r="S10">
        <v>96</v>
      </c>
      <c r="T10">
        <v>166</v>
      </c>
      <c r="V10" s="1"/>
      <c r="W10" s="1" t="s">
        <v>20</v>
      </c>
      <c r="X10" s="2">
        <f t="shared" si="7"/>
        <v>8.4033613445378155</v>
      </c>
      <c r="Y10" s="2">
        <f t="shared" si="2"/>
        <v>9.3385214007782107</v>
      </c>
      <c r="Z10" s="2">
        <f t="shared" si="3"/>
        <v>8.9199355185384199</v>
      </c>
      <c r="AB10" s="1"/>
      <c r="AC10" s="1" t="s">
        <v>20</v>
      </c>
      <c r="AD10" s="2">
        <f t="shared" si="8"/>
        <v>3.7614185921547554</v>
      </c>
      <c r="AE10" s="2">
        <f t="shared" si="4"/>
        <v>5.1585169263836645</v>
      </c>
      <c r="AF10" s="2">
        <f t="shared" si="5"/>
        <v>8.9199355185384199</v>
      </c>
    </row>
    <row r="11" spans="1:32" x14ac:dyDescent="0.2">
      <c r="A11" s="1" t="s">
        <v>5</v>
      </c>
      <c r="B11" s="4">
        <v>666063640.79104996</v>
      </c>
      <c r="C11" s="4">
        <v>429238762.18778002</v>
      </c>
      <c r="D11" s="4">
        <v>1095302402.9788301</v>
      </c>
      <c r="F11" s="1" t="s">
        <v>5</v>
      </c>
      <c r="G11" s="3">
        <f t="shared" ref="G11:G14" si="13">B11/B$14*100</f>
        <v>40.714553792091664</v>
      </c>
      <c r="H11" s="3">
        <f t="shared" si="9"/>
        <v>24.14493976701841</v>
      </c>
      <c r="I11" s="3">
        <f t="shared" si="10"/>
        <v>32.085550197091806</v>
      </c>
      <c r="K11" s="1" t="s">
        <v>5</v>
      </c>
      <c r="L11" s="2">
        <f t="shared" ref="L11:L14" si="14">B11/$D$14*100</f>
        <v>19.51152332263441</v>
      </c>
      <c r="M11" s="2">
        <f t="shared" si="11"/>
        <v>12.574026874457388</v>
      </c>
      <c r="N11" s="2">
        <f t="shared" si="12"/>
        <v>32.085550197091806</v>
      </c>
      <c r="P11" s="1" t="s">
        <v>3</v>
      </c>
      <c r="Q11" s="1"/>
      <c r="R11">
        <v>833</v>
      </c>
      <c r="S11">
        <v>1028</v>
      </c>
      <c r="T11">
        <v>1861</v>
      </c>
      <c r="V11" s="1" t="s">
        <v>3</v>
      </c>
      <c r="W11" s="1"/>
      <c r="X11" s="2">
        <f t="shared" si="7"/>
        <v>100</v>
      </c>
      <c r="Y11" s="2">
        <f t="shared" si="2"/>
        <v>100</v>
      </c>
      <c r="Z11" s="2">
        <f t="shared" si="3"/>
        <v>100</v>
      </c>
      <c r="AB11" s="1" t="s">
        <v>3</v>
      </c>
      <c r="AC11" s="1"/>
      <c r="AD11" s="2">
        <f t="shared" si="8"/>
        <v>44.760881246641596</v>
      </c>
      <c r="AE11" s="2">
        <f t="shared" si="4"/>
        <v>55.239118753358404</v>
      </c>
      <c r="AF11" s="2">
        <f t="shared" si="5"/>
        <v>100</v>
      </c>
    </row>
    <row r="12" spans="1:32" x14ac:dyDescent="0.2">
      <c r="A12" s="1" t="s">
        <v>6</v>
      </c>
      <c r="B12" s="4">
        <v>313680063.06397003</v>
      </c>
      <c r="C12" s="4">
        <v>531388149.52855998</v>
      </c>
      <c r="D12" s="4">
        <v>845068212.59253001</v>
      </c>
      <c r="F12" s="1" t="s">
        <v>6</v>
      </c>
      <c r="G12" s="3">
        <f t="shared" si="13"/>
        <v>19.174359654216879</v>
      </c>
      <c r="H12" s="3">
        <f t="shared" si="9"/>
        <v>29.890904534995233</v>
      </c>
      <c r="I12" s="3">
        <f t="shared" si="10"/>
        <v>24.755244288118607</v>
      </c>
      <c r="K12" s="1" t="s">
        <v>6</v>
      </c>
      <c r="L12" s="2">
        <f t="shared" si="14"/>
        <v>9.1888754940131925</v>
      </c>
      <c r="M12" s="2">
        <f t="shared" si="11"/>
        <v>15.566368794105417</v>
      </c>
      <c r="N12" s="2">
        <f t="shared" si="12"/>
        <v>24.755244288118607</v>
      </c>
    </row>
    <row r="13" spans="1:32" x14ac:dyDescent="0.2">
      <c r="A13" s="1" t="s">
        <v>7</v>
      </c>
      <c r="B13" s="4">
        <v>244942310.01659</v>
      </c>
      <c r="C13" s="4">
        <v>553593923.7088927</v>
      </c>
      <c r="D13" s="4">
        <v>798536233.7254827</v>
      </c>
      <c r="F13" s="1" t="s">
        <v>7</v>
      </c>
      <c r="G13" s="3">
        <f t="shared" si="13"/>
        <v>14.972618600357102</v>
      </c>
      <c r="H13" s="3">
        <f t="shared" si="9"/>
        <v>31.13999275184549</v>
      </c>
      <c r="I13" s="3">
        <f t="shared" si="10"/>
        <v>23.392146627008557</v>
      </c>
      <c r="K13" s="1" t="s">
        <v>7</v>
      </c>
      <c r="L13" s="2">
        <f t="shared" si="14"/>
        <v>7.1752867172161423</v>
      </c>
      <c r="M13" s="2">
        <f t="shared" si="11"/>
        <v>16.216859909792415</v>
      </c>
      <c r="N13" s="2">
        <f t="shared" si="12"/>
        <v>23.392146627008557</v>
      </c>
    </row>
    <row r="14" spans="1:32" x14ac:dyDescent="0.2">
      <c r="A14" s="1" t="s">
        <v>14</v>
      </c>
      <c r="B14" s="4">
        <v>1635935012.80229</v>
      </c>
      <c r="C14" s="4">
        <v>1777758678.7526929</v>
      </c>
      <c r="D14" s="4">
        <v>3413693691.5549822</v>
      </c>
      <c r="F14" s="1" t="s">
        <v>14</v>
      </c>
      <c r="G14" s="3">
        <f t="shared" si="13"/>
        <v>100</v>
      </c>
      <c r="H14" s="3">
        <f t="shared" si="9"/>
        <v>100</v>
      </c>
      <c r="I14" s="3">
        <f t="shared" si="10"/>
        <v>100</v>
      </c>
      <c r="K14" s="1" t="s">
        <v>14</v>
      </c>
      <c r="L14" s="2">
        <f t="shared" si="14"/>
        <v>47.922724198992213</v>
      </c>
      <c r="M14" s="2">
        <f t="shared" si="11"/>
        <v>52.077275801007808</v>
      </c>
      <c r="N14" s="2">
        <f t="shared" si="12"/>
        <v>100</v>
      </c>
    </row>
    <row r="15" spans="1:32" x14ac:dyDescent="0.2">
      <c r="A15" t="s">
        <v>10</v>
      </c>
    </row>
    <row r="16" spans="1:32" x14ac:dyDescent="0.2">
      <c r="A16" s="1" t="s">
        <v>15</v>
      </c>
      <c r="B16" s="1" t="s">
        <v>12</v>
      </c>
      <c r="C16" s="1" t="s">
        <v>13</v>
      </c>
      <c r="D16" s="1" t="s">
        <v>14</v>
      </c>
      <c r="F16" s="1" t="s">
        <v>15</v>
      </c>
      <c r="G16" s="1" t="s">
        <v>12</v>
      </c>
      <c r="H16" s="1" t="s">
        <v>13</v>
      </c>
      <c r="I16" s="1" t="s">
        <v>14</v>
      </c>
      <c r="K16" s="1" t="s">
        <v>15</v>
      </c>
      <c r="L16" s="1" t="s">
        <v>12</v>
      </c>
      <c r="M16" s="1" t="s">
        <v>13</v>
      </c>
      <c r="N16" s="1" t="s">
        <v>14</v>
      </c>
    </row>
    <row r="17" spans="1:14" x14ac:dyDescent="0.2">
      <c r="A17" s="1" t="s">
        <v>4</v>
      </c>
      <c r="B17" s="4">
        <v>1699376.0286391729</v>
      </c>
      <c r="C17" s="4">
        <v>1472278.454343352</v>
      </c>
      <c r="D17" s="4">
        <v>1602819.102750926</v>
      </c>
      <c r="F17" s="1" t="s">
        <v>4</v>
      </c>
      <c r="G17" s="3">
        <f>B17/B$21*100</f>
        <v>86.530346302179794</v>
      </c>
      <c r="H17" s="3">
        <f t="shared" ref="H17:H21" si="15">C17/C$21*100</f>
        <v>85.135416249345269</v>
      </c>
      <c r="I17" s="3">
        <f t="shared" ref="I17:I21" si="16">D17/D$21*100</f>
        <v>87.378851758100978</v>
      </c>
      <c r="K17" s="1" t="s">
        <v>4</v>
      </c>
      <c r="L17" s="2">
        <f>B17/$D$21*100</f>
        <v>92.642722957868045</v>
      </c>
      <c r="M17" s="2">
        <f t="shared" ref="M17:M21" si="17">C17/$D$21*100</f>
        <v>80.262333152829328</v>
      </c>
      <c r="N17" s="2">
        <f t="shared" ref="N17:N21" si="18">D17/$D$21*100</f>
        <v>87.378851758100978</v>
      </c>
    </row>
    <row r="18" spans="1:14" x14ac:dyDescent="0.2">
      <c r="A18" s="1" t="s">
        <v>5</v>
      </c>
      <c r="B18" s="4">
        <v>2074964.6130562299</v>
      </c>
      <c r="C18" s="4">
        <v>1380188.9459414149</v>
      </c>
      <c r="D18" s="4">
        <v>1733073.422434858</v>
      </c>
      <c r="F18" s="1" t="s">
        <v>5</v>
      </c>
      <c r="G18" s="3">
        <f t="shared" ref="G18:G21" si="19">B18/B$21*100</f>
        <v>105.65490127355869</v>
      </c>
      <c r="H18" s="3">
        <f t="shared" si="15"/>
        <v>79.810283217025486</v>
      </c>
      <c r="I18" s="3">
        <f t="shared" si="16"/>
        <v>94.479760944284578</v>
      </c>
      <c r="K18" s="1" t="s">
        <v>5</v>
      </c>
      <c r="L18" s="2">
        <f t="shared" ref="L18:L21" si="20">B18/$D$21*100</f>
        <v>113.11820842187734</v>
      </c>
      <c r="M18" s="2">
        <f t="shared" si="17"/>
        <v>75.242006473843091</v>
      </c>
      <c r="N18" s="2">
        <f t="shared" si="18"/>
        <v>94.479760944284578</v>
      </c>
    </row>
    <row r="19" spans="1:14" x14ac:dyDescent="0.2">
      <c r="A19" s="1" t="s">
        <v>6</v>
      </c>
      <c r="B19" s="4">
        <v>2077351.4110196689</v>
      </c>
      <c r="C19" s="4">
        <v>2028199.0440021369</v>
      </c>
      <c r="D19" s="4">
        <v>2046170.0062773121</v>
      </c>
      <c r="F19" s="1" t="s">
        <v>6</v>
      </c>
      <c r="G19" s="3">
        <f t="shared" si="19"/>
        <v>105.77643438385866</v>
      </c>
      <c r="H19" s="3">
        <f t="shared" si="15"/>
        <v>117.28186970219498</v>
      </c>
      <c r="I19" s="3">
        <f t="shared" si="16"/>
        <v>111.54844944355622</v>
      </c>
      <c r="K19" s="1" t="s">
        <v>6</v>
      </c>
      <c r="L19" s="2">
        <f t="shared" si="20"/>
        <v>113.24832645270561</v>
      </c>
      <c r="M19" s="2">
        <f t="shared" si="17"/>
        <v>110.56874933522967</v>
      </c>
      <c r="N19" s="2">
        <f t="shared" si="18"/>
        <v>111.54844944355622</v>
      </c>
    </row>
    <row r="20" spans="1:14" x14ac:dyDescent="0.2">
      <c r="A20" s="1" t="s">
        <v>7</v>
      </c>
      <c r="B20" s="4">
        <v>2058338.73963521</v>
      </c>
      <c r="C20" s="4">
        <v>2005775.0859017849</v>
      </c>
      <c r="D20" s="4">
        <v>2021610.7182923609</v>
      </c>
      <c r="F20" s="1" t="s">
        <v>7</v>
      </c>
      <c r="G20" s="3">
        <f t="shared" si="19"/>
        <v>104.80833020249969</v>
      </c>
      <c r="H20" s="3">
        <f t="shared" si="15"/>
        <v>115.98519039455493</v>
      </c>
      <c r="I20" s="3">
        <f t="shared" si="16"/>
        <v>110.20958195661497</v>
      </c>
      <c r="K20" s="1" t="s">
        <v>7</v>
      </c>
      <c r="L20" s="2">
        <f t="shared" si="20"/>
        <v>112.21183681293476</v>
      </c>
      <c r="M20" s="2">
        <f t="shared" si="17"/>
        <v>109.3462909134916</v>
      </c>
      <c r="N20" s="2">
        <f t="shared" si="18"/>
        <v>110.20958195661497</v>
      </c>
    </row>
    <row r="21" spans="1:14" x14ac:dyDescent="0.2">
      <c r="A21" s="1" t="s">
        <v>14</v>
      </c>
      <c r="B21" s="4">
        <v>1963907.5783941059</v>
      </c>
      <c r="C21" s="4">
        <v>1729337.236140752</v>
      </c>
      <c r="D21" s="4">
        <v>1834332.9884766161</v>
      </c>
      <c r="F21" s="1" t="s">
        <v>14</v>
      </c>
      <c r="G21" s="3">
        <f t="shared" si="19"/>
        <v>100</v>
      </c>
      <c r="H21" s="3">
        <f t="shared" si="15"/>
        <v>100</v>
      </c>
      <c r="I21" s="3">
        <f t="shared" si="16"/>
        <v>100</v>
      </c>
      <c r="K21" s="1" t="s">
        <v>14</v>
      </c>
      <c r="L21" s="2">
        <f t="shared" si="20"/>
        <v>107.0638532224784</v>
      </c>
      <c r="M21" s="2">
        <f t="shared" si="17"/>
        <v>94.276080024976196</v>
      </c>
      <c r="N21" s="2">
        <f t="shared" si="18"/>
        <v>100</v>
      </c>
    </row>
    <row r="22" spans="1:14" x14ac:dyDescent="0.2">
      <c r="A22" t="s">
        <v>11</v>
      </c>
    </row>
    <row r="23" spans="1:14" x14ac:dyDescent="0.2">
      <c r="A23" s="1" t="s">
        <v>15</v>
      </c>
      <c r="B23" s="1" t="s">
        <v>12</v>
      </c>
      <c r="C23" s="1" t="s">
        <v>13</v>
      </c>
      <c r="D23" s="1" t="s">
        <v>14</v>
      </c>
      <c r="F23" s="1" t="s">
        <v>15</v>
      </c>
      <c r="G23" s="1" t="s">
        <v>12</v>
      </c>
      <c r="H23" s="1" t="s">
        <v>13</v>
      </c>
      <c r="I23" s="1" t="s">
        <v>14</v>
      </c>
      <c r="K23" s="1" t="s">
        <v>15</v>
      </c>
      <c r="L23" s="1" t="s">
        <v>12</v>
      </c>
      <c r="M23" s="1" t="s">
        <v>13</v>
      </c>
      <c r="N23" s="1" t="s">
        <v>14</v>
      </c>
    </row>
    <row r="24" spans="1:14" x14ac:dyDescent="0.2">
      <c r="A24" s="1" t="s">
        <v>4</v>
      </c>
      <c r="B24" s="4">
        <v>10124898.416107001</v>
      </c>
      <c r="C24" s="4">
        <v>7040263.2196500003</v>
      </c>
      <c r="D24" s="4">
        <v>17165161.635756999</v>
      </c>
      <c r="F24" s="1" t="s">
        <v>4</v>
      </c>
      <c r="G24" s="3">
        <f>B24/B$28*100</f>
        <v>17.832949586014696</v>
      </c>
      <c r="H24" s="3">
        <f t="shared" ref="H24:H28" si="21">C24/C$28*100</f>
        <v>8.4671931316636453</v>
      </c>
      <c r="I24" s="3">
        <f t="shared" ref="I24:I28" si="22">D24/D$28*100</f>
        <v>12.267498171967194</v>
      </c>
      <c r="K24" s="1" t="s">
        <v>4</v>
      </c>
      <c r="L24" s="2">
        <f>B24/$D$28*100</f>
        <v>7.2360036827272518</v>
      </c>
      <c r="M24" s="2">
        <f t="shared" ref="M24:M28" si="23">C24/$D$28*100</f>
        <v>5.0314944892399449</v>
      </c>
      <c r="N24" s="2">
        <f t="shared" ref="N24:N28" si="24">D24/$D$28*100</f>
        <v>12.267498171967194</v>
      </c>
    </row>
    <row r="25" spans="1:14" x14ac:dyDescent="0.2">
      <c r="A25" s="1" t="s">
        <v>5</v>
      </c>
      <c r="B25" s="4">
        <v>28871840.806729998</v>
      </c>
      <c r="C25" s="4">
        <v>21924630.519450001</v>
      </c>
      <c r="D25" s="4">
        <v>50796471.326180004</v>
      </c>
      <c r="F25" s="1" t="s">
        <v>5</v>
      </c>
      <c r="G25" s="3">
        <f t="shared" ref="G25:G28" si="25">B25/B$28*100</f>
        <v>50.85187627589297</v>
      </c>
      <c r="H25" s="3">
        <f t="shared" si="21"/>
        <v>26.368343790103221</v>
      </c>
      <c r="I25" s="3">
        <f t="shared" si="22"/>
        <v>36.30292754355505</v>
      </c>
      <c r="K25" s="1" t="s">
        <v>5</v>
      </c>
      <c r="L25" s="2">
        <f t="shared" ref="L25:L28" si="26">B25/$D$28*100</f>
        <v>20.633959751365211</v>
      </c>
      <c r="M25" s="2">
        <f t="shared" si="23"/>
        <v>15.668967792189839</v>
      </c>
      <c r="N25" s="2">
        <f t="shared" si="24"/>
        <v>36.30292754355505</v>
      </c>
    </row>
    <row r="26" spans="1:14" x14ac:dyDescent="0.2">
      <c r="A26" s="1" t="s">
        <v>6</v>
      </c>
      <c r="B26" s="4">
        <v>10753991.173559999</v>
      </c>
      <c r="C26" s="4">
        <v>24637888.245669998</v>
      </c>
      <c r="D26" s="4">
        <v>35391879.419229999</v>
      </c>
      <c r="F26" s="1" t="s">
        <v>6</v>
      </c>
      <c r="G26" s="3">
        <f t="shared" si="25"/>
        <v>18.940968547542195</v>
      </c>
      <c r="H26" s="3">
        <f t="shared" si="21"/>
        <v>29.631528200561299</v>
      </c>
      <c r="I26" s="3">
        <f t="shared" si="22"/>
        <v>25.293663135304357</v>
      </c>
      <c r="K26" s="1" t="s">
        <v>6</v>
      </c>
      <c r="L26" s="2">
        <f t="shared" si="26"/>
        <v>7.6856000463278287</v>
      </c>
      <c r="M26" s="2">
        <f t="shared" si="23"/>
        <v>17.608063088976529</v>
      </c>
      <c r="N26" s="2">
        <f t="shared" si="24"/>
        <v>25.293663135304357</v>
      </c>
    </row>
    <row r="27" spans="1:14" x14ac:dyDescent="0.2">
      <c r="A27" s="1" t="s">
        <v>7</v>
      </c>
      <c r="B27" s="4">
        <v>7025622.6531699998</v>
      </c>
      <c r="C27" s="4">
        <v>29544763.01833684</v>
      </c>
      <c r="D27" s="4">
        <v>36570385.671506837</v>
      </c>
      <c r="F27" s="1" t="s">
        <v>7</v>
      </c>
      <c r="G27" s="3">
        <f t="shared" si="25"/>
        <v>12.374205590550131</v>
      </c>
      <c r="H27" s="3">
        <f t="shared" si="21"/>
        <v>35.532934877671849</v>
      </c>
      <c r="I27" s="3">
        <f t="shared" si="22"/>
        <v>26.135911149173435</v>
      </c>
      <c r="K27" s="1" t="s">
        <v>7</v>
      </c>
      <c r="L27" s="2">
        <f t="shared" si="26"/>
        <v>5.0210312540930158</v>
      </c>
      <c r="M27" s="2">
        <f t="shared" si="23"/>
        <v>21.114879895080417</v>
      </c>
      <c r="N27" s="2">
        <f t="shared" si="24"/>
        <v>26.135911149173435</v>
      </c>
    </row>
    <row r="28" spans="1:14" x14ac:dyDescent="0.2">
      <c r="A28" s="1" t="s">
        <v>14</v>
      </c>
      <c r="B28" s="4">
        <v>56776353.049566999</v>
      </c>
      <c r="C28" s="4">
        <v>83147545.003106833</v>
      </c>
      <c r="D28" s="4">
        <v>139923898.05267379</v>
      </c>
      <c r="F28" s="1" t="s">
        <v>14</v>
      </c>
      <c r="G28" s="3">
        <f t="shared" si="25"/>
        <v>100</v>
      </c>
      <c r="H28" s="3">
        <f t="shared" si="21"/>
        <v>100</v>
      </c>
      <c r="I28" s="3">
        <f t="shared" si="22"/>
        <v>100</v>
      </c>
      <c r="K28" s="1" t="s">
        <v>14</v>
      </c>
      <c r="L28" s="2">
        <f t="shared" si="26"/>
        <v>40.576594734513307</v>
      </c>
      <c r="M28" s="2">
        <f t="shared" si="23"/>
        <v>59.423405265486728</v>
      </c>
      <c r="N28" s="2">
        <f t="shared" si="24"/>
        <v>100</v>
      </c>
    </row>
    <row r="30" spans="1:14" x14ac:dyDescent="0.2">
      <c r="A30" s="1" t="s">
        <v>21</v>
      </c>
      <c r="B30" s="1" t="s">
        <v>12</v>
      </c>
      <c r="C30" s="1" t="s">
        <v>13</v>
      </c>
      <c r="D30" s="1" t="s">
        <v>14</v>
      </c>
      <c r="F30" s="1" t="s">
        <v>21</v>
      </c>
      <c r="G30" s="1" t="s">
        <v>12</v>
      </c>
      <c r="H30" s="1" t="s">
        <v>13</v>
      </c>
      <c r="I30" s="1" t="s">
        <v>14</v>
      </c>
    </row>
    <row r="31" spans="1:14" x14ac:dyDescent="0.2">
      <c r="A31" s="1" t="s">
        <v>22</v>
      </c>
      <c r="B31">
        <v>390</v>
      </c>
      <c r="C31">
        <v>683</v>
      </c>
      <c r="D31">
        <v>1073</v>
      </c>
      <c r="F31" s="1" t="s">
        <v>22</v>
      </c>
      <c r="G31" s="3">
        <f>B31/B$33*100</f>
        <v>46.818727490996395</v>
      </c>
      <c r="H31" s="3">
        <f t="shared" ref="H31:H33" si="27">C31/C$33*100</f>
        <v>66.439688715953309</v>
      </c>
      <c r="I31" s="3">
        <f t="shared" ref="I31:I33" si="28">D31/D$33*100</f>
        <v>57.657173562600747</v>
      </c>
    </row>
    <row r="32" spans="1:14" x14ac:dyDescent="0.2">
      <c r="A32" s="1" t="s">
        <v>23</v>
      </c>
      <c r="B32">
        <v>443</v>
      </c>
      <c r="C32">
        <v>345</v>
      </c>
      <c r="D32">
        <v>788</v>
      </c>
      <c r="F32" s="1" t="s">
        <v>23</v>
      </c>
      <c r="G32" s="3">
        <f t="shared" ref="G32:G33" si="29">B32/B$33*100</f>
        <v>53.181272509003598</v>
      </c>
      <c r="H32" s="3">
        <f t="shared" si="27"/>
        <v>33.560311284046691</v>
      </c>
      <c r="I32" s="3">
        <f t="shared" si="28"/>
        <v>42.342826437399253</v>
      </c>
    </row>
    <row r="33" spans="1:9" x14ac:dyDescent="0.2">
      <c r="A33" s="1" t="s">
        <v>14</v>
      </c>
      <c r="B33">
        <v>833</v>
      </c>
      <c r="C33">
        <v>1028</v>
      </c>
      <c r="D33">
        <v>1861</v>
      </c>
      <c r="F33" s="1" t="s">
        <v>14</v>
      </c>
      <c r="G33" s="3">
        <f t="shared" si="29"/>
        <v>100</v>
      </c>
      <c r="H33" s="3">
        <f t="shared" si="27"/>
        <v>100</v>
      </c>
      <c r="I33" s="3">
        <f t="shared" si="28"/>
        <v>100</v>
      </c>
    </row>
    <row r="35" spans="1:9" x14ac:dyDescent="0.2">
      <c r="A35" s="1" t="s">
        <v>15</v>
      </c>
      <c r="B35" s="1" t="s">
        <v>24</v>
      </c>
      <c r="C35" s="1" t="s">
        <v>25</v>
      </c>
      <c r="D35" s="1" t="s">
        <v>26</v>
      </c>
      <c r="E35" s="1" t="s">
        <v>3</v>
      </c>
    </row>
    <row r="36" spans="1:9" x14ac:dyDescent="0.2">
      <c r="A36" s="1" t="s">
        <v>4</v>
      </c>
      <c r="B36">
        <v>279</v>
      </c>
      <c r="C36">
        <v>4</v>
      </c>
      <c r="D36">
        <v>138</v>
      </c>
      <c r="E36">
        <v>421</v>
      </c>
    </row>
    <row r="37" spans="1:9" x14ac:dyDescent="0.2">
      <c r="A37" s="1" t="s">
        <v>5</v>
      </c>
      <c r="B37">
        <v>254</v>
      </c>
      <c r="C37">
        <v>3</v>
      </c>
      <c r="D37">
        <v>375</v>
      </c>
      <c r="E37">
        <v>632</v>
      </c>
    </row>
    <row r="38" spans="1:9" x14ac:dyDescent="0.2">
      <c r="A38" s="1" t="s">
        <v>6</v>
      </c>
      <c r="B38">
        <v>96</v>
      </c>
      <c r="C38">
        <v>2</v>
      </c>
      <c r="D38">
        <v>315</v>
      </c>
      <c r="E38">
        <v>413</v>
      </c>
    </row>
    <row r="39" spans="1:9" x14ac:dyDescent="0.2">
      <c r="A39" s="1" t="s">
        <v>7</v>
      </c>
      <c r="B39">
        <v>61</v>
      </c>
      <c r="C39">
        <v>2</v>
      </c>
      <c r="D39">
        <v>332</v>
      </c>
      <c r="E39">
        <v>395</v>
      </c>
    </row>
    <row r="40" spans="1:9" x14ac:dyDescent="0.2">
      <c r="A40" s="1" t="s">
        <v>3</v>
      </c>
      <c r="B40">
        <v>690</v>
      </c>
      <c r="C40">
        <v>11</v>
      </c>
      <c r="D40">
        <v>1160</v>
      </c>
      <c r="E40">
        <v>1861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F991-1BF4-4B4A-B9E3-CF5ADDB175BD}">
  <dimension ref="A1:AF40"/>
  <sheetViews>
    <sheetView tabSelected="1" workbookViewId="0"/>
  </sheetViews>
  <sheetFormatPr baseColWidth="10" defaultRowHeight="16" x14ac:dyDescent="0.2"/>
  <cols>
    <col min="1" max="1" width="24.5" bestFit="1" customWidth="1"/>
    <col min="2" max="4" width="13.5" bestFit="1" customWidth="1"/>
    <col min="6" max="6" width="24.5" bestFit="1" customWidth="1"/>
    <col min="11" max="11" width="14.83203125" bestFit="1" customWidth="1"/>
    <col min="16" max="16" width="14.6640625" bestFit="1" customWidth="1"/>
    <col min="22" max="22" width="15.33203125" bestFit="1" customWidth="1"/>
    <col min="28" max="28" width="15.33203125" bestFit="1" customWidth="1"/>
  </cols>
  <sheetData>
    <row r="1" spans="1:32" x14ac:dyDescent="0.2">
      <c r="A1" t="s">
        <v>8</v>
      </c>
      <c r="F1" t="s">
        <v>16</v>
      </c>
      <c r="K1" t="s">
        <v>17</v>
      </c>
      <c r="P1" t="s">
        <v>8</v>
      </c>
      <c r="V1" t="s">
        <v>16</v>
      </c>
      <c r="AB1" t="s">
        <v>17</v>
      </c>
    </row>
    <row r="2" spans="1:32" x14ac:dyDescent="0.2">
      <c r="A2" s="1" t="s">
        <v>15</v>
      </c>
      <c r="B2" s="1" t="s">
        <v>12</v>
      </c>
      <c r="C2" s="1" t="s">
        <v>13</v>
      </c>
      <c r="D2" s="1" t="s">
        <v>14</v>
      </c>
      <c r="F2" s="1" t="s">
        <v>15</v>
      </c>
      <c r="G2" s="1" t="s">
        <v>12</v>
      </c>
      <c r="H2" s="1" t="s">
        <v>13</v>
      </c>
      <c r="I2" s="1" t="s">
        <v>14</v>
      </c>
      <c r="K2" s="1" t="s">
        <v>15</v>
      </c>
      <c r="L2" s="1" t="s">
        <v>12</v>
      </c>
      <c r="M2" s="1" t="s">
        <v>13</v>
      </c>
      <c r="N2" s="1" t="s">
        <v>14</v>
      </c>
      <c r="P2" s="1" t="s">
        <v>0</v>
      </c>
      <c r="Q2" s="1" t="s">
        <v>18</v>
      </c>
      <c r="R2" s="1" t="s">
        <v>1</v>
      </c>
      <c r="S2" s="1" t="s">
        <v>2</v>
      </c>
      <c r="T2" s="1" t="s">
        <v>3</v>
      </c>
      <c r="V2" s="1" t="s">
        <v>0</v>
      </c>
      <c r="W2" s="1" t="s">
        <v>18</v>
      </c>
      <c r="X2" s="1" t="s">
        <v>12</v>
      </c>
      <c r="Y2" s="1" t="s">
        <v>13</v>
      </c>
      <c r="Z2" s="1" t="s">
        <v>14</v>
      </c>
      <c r="AB2" s="1" t="s">
        <v>0</v>
      </c>
      <c r="AC2" s="1" t="s">
        <v>18</v>
      </c>
      <c r="AD2" s="1" t="s">
        <v>12</v>
      </c>
      <c r="AE2" s="1" t="s">
        <v>13</v>
      </c>
      <c r="AF2" s="1" t="s">
        <v>14</v>
      </c>
    </row>
    <row r="3" spans="1:32" x14ac:dyDescent="0.2">
      <c r="A3" s="1" t="s">
        <v>4</v>
      </c>
      <c r="B3">
        <v>247</v>
      </c>
      <c r="C3">
        <v>175</v>
      </c>
      <c r="D3">
        <v>422</v>
      </c>
      <c r="F3" s="1" t="s">
        <v>4</v>
      </c>
      <c r="G3" s="3">
        <f>B3/B$7*100</f>
        <v>33.198924731182792</v>
      </c>
      <c r="H3" s="3">
        <f t="shared" ref="H3:H7" si="0">C3/C$7*100</f>
        <v>23.148148148148149</v>
      </c>
      <c r="I3" s="3">
        <f t="shared" ref="I3:I7" si="1">D3/D$7*100</f>
        <v>28.133333333333333</v>
      </c>
      <c r="K3" s="1" t="s">
        <v>4</v>
      </c>
      <c r="L3" s="2">
        <f>B3/$D$7*100</f>
        <v>16.466666666666665</v>
      </c>
      <c r="M3" s="2">
        <f t="shared" ref="M3:N7" si="2">C3/$D$7*100</f>
        <v>11.666666666666666</v>
      </c>
      <c r="N3" s="2">
        <f t="shared" si="2"/>
        <v>28.133333333333333</v>
      </c>
      <c r="P3" s="1" t="s">
        <v>4</v>
      </c>
      <c r="Q3" s="1" t="s">
        <v>19</v>
      </c>
      <c r="R3">
        <v>116</v>
      </c>
      <c r="S3">
        <v>136</v>
      </c>
      <c r="T3">
        <v>252</v>
      </c>
      <c r="V3" s="1" t="s">
        <v>4</v>
      </c>
      <c r="W3" s="1" t="s">
        <v>19</v>
      </c>
      <c r="X3" s="2">
        <f>R3/R$11*100</f>
        <v>13.925570228091235</v>
      </c>
      <c r="Y3" s="2">
        <f t="shared" ref="Y3:Z11" si="3">S3/S$11*100</f>
        <v>13.229571984435799</v>
      </c>
      <c r="Z3" s="2">
        <f t="shared" si="3"/>
        <v>13.541106931757119</v>
      </c>
      <c r="AB3" s="1" t="s">
        <v>4</v>
      </c>
      <c r="AC3" s="1" t="s">
        <v>19</v>
      </c>
      <c r="AD3" s="2">
        <f>R3/$T$11*100</f>
        <v>6.2332079527135953</v>
      </c>
      <c r="AE3" s="2">
        <f t="shared" ref="AE3:AF11" si="4">S3/$T$11*100</f>
        <v>7.3078989790435251</v>
      </c>
      <c r="AF3" s="2">
        <f t="shared" si="4"/>
        <v>13.541106931757119</v>
      </c>
    </row>
    <row r="4" spans="1:32" x14ac:dyDescent="0.2">
      <c r="A4" s="1" t="s">
        <v>5</v>
      </c>
      <c r="B4">
        <v>312</v>
      </c>
      <c r="C4">
        <v>273</v>
      </c>
      <c r="D4">
        <v>585</v>
      </c>
      <c r="F4" s="1" t="s">
        <v>5</v>
      </c>
      <c r="G4" s="3">
        <f t="shared" ref="G4:G7" si="5">B4/B$7*100</f>
        <v>41.935483870967744</v>
      </c>
      <c r="H4" s="3">
        <f t="shared" si="0"/>
        <v>36.111111111111107</v>
      </c>
      <c r="I4" s="3">
        <f t="shared" si="1"/>
        <v>39</v>
      </c>
      <c r="K4" s="1" t="s">
        <v>5</v>
      </c>
      <c r="L4" s="2">
        <f t="shared" ref="L4:L7" si="6">B4/$D$7*100</f>
        <v>20.8</v>
      </c>
      <c r="M4" s="2">
        <f t="shared" si="2"/>
        <v>18.2</v>
      </c>
      <c r="N4" s="2">
        <f t="shared" si="2"/>
        <v>39</v>
      </c>
      <c r="P4" s="1"/>
      <c r="Q4" s="1" t="s">
        <v>20</v>
      </c>
      <c r="R4">
        <v>126</v>
      </c>
      <c r="S4">
        <v>43</v>
      </c>
      <c r="T4">
        <v>169</v>
      </c>
      <c r="V4" s="1"/>
      <c r="W4" s="1" t="s">
        <v>20</v>
      </c>
      <c r="X4" s="2">
        <f t="shared" ref="X4:X11" si="7">R4/R$11*100</f>
        <v>15.126050420168067</v>
      </c>
      <c r="Y4" s="2">
        <f t="shared" si="3"/>
        <v>4.182879377431906</v>
      </c>
      <c r="Z4" s="2">
        <f t="shared" si="3"/>
        <v>9.0811391724879087</v>
      </c>
      <c r="AB4" s="1"/>
      <c r="AC4" s="1" t="s">
        <v>20</v>
      </c>
      <c r="AD4" s="2">
        <f t="shared" ref="AD4:AD11" si="8">R4/$T$11*100</f>
        <v>6.7705534658785593</v>
      </c>
      <c r="AE4" s="2">
        <f t="shared" si="4"/>
        <v>2.3105857066093498</v>
      </c>
      <c r="AF4" s="2">
        <f t="shared" si="4"/>
        <v>9.0811391724879087</v>
      </c>
    </row>
    <row r="5" spans="1:32" x14ac:dyDescent="0.2">
      <c r="A5" s="1" t="s">
        <v>6</v>
      </c>
      <c r="B5">
        <v>124</v>
      </c>
      <c r="C5">
        <v>189</v>
      </c>
      <c r="D5">
        <v>313</v>
      </c>
      <c r="F5" s="1" t="s">
        <v>6</v>
      </c>
      <c r="G5" s="3">
        <f t="shared" si="5"/>
        <v>16.666666666666664</v>
      </c>
      <c r="H5" s="3">
        <f t="shared" si="0"/>
        <v>25</v>
      </c>
      <c r="I5" s="3">
        <f t="shared" si="1"/>
        <v>20.866666666666667</v>
      </c>
      <c r="K5" s="1" t="s">
        <v>6</v>
      </c>
      <c r="L5" s="2">
        <f t="shared" si="6"/>
        <v>8.2666666666666657</v>
      </c>
      <c r="M5" s="2">
        <f t="shared" si="2"/>
        <v>12.6</v>
      </c>
      <c r="N5" s="2">
        <f t="shared" si="2"/>
        <v>20.866666666666667</v>
      </c>
      <c r="P5" s="1" t="s">
        <v>5</v>
      </c>
      <c r="Q5" s="1" t="s">
        <v>19</v>
      </c>
      <c r="R5">
        <v>153</v>
      </c>
      <c r="S5">
        <v>204</v>
      </c>
      <c r="T5">
        <v>357</v>
      </c>
      <c r="V5" s="1" t="s">
        <v>5</v>
      </c>
      <c r="W5" s="1" t="s">
        <v>19</v>
      </c>
      <c r="X5" s="2">
        <f t="shared" si="7"/>
        <v>18.367346938775512</v>
      </c>
      <c r="Y5" s="2">
        <f t="shared" si="3"/>
        <v>19.844357976653697</v>
      </c>
      <c r="Z5" s="2">
        <f t="shared" si="3"/>
        <v>19.183234819989252</v>
      </c>
      <c r="AB5" s="1" t="s">
        <v>5</v>
      </c>
      <c r="AC5" s="1" t="s">
        <v>19</v>
      </c>
      <c r="AD5" s="2">
        <f t="shared" si="8"/>
        <v>8.2213863514239662</v>
      </c>
      <c r="AE5" s="2">
        <f t="shared" si="4"/>
        <v>10.961848468565288</v>
      </c>
      <c r="AF5" s="2">
        <f t="shared" si="4"/>
        <v>19.183234819989252</v>
      </c>
    </row>
    <row r="6" spans="1:32" x14ac:dyDescent="0.2">
      <c r="A6" s="1" t="s">
        <v>7</v>
      </c>
      <c r="B6">
        <v>61</v>
      </c>
      <c r="C6">
        <v>119</v>
      </c>
      <c r="D6">
        <v>180</v>
      </c>
      <c r="F6" s="1" t="s">
        <v>7</v>
      </c>
      <c r="G6" s="3">
        <f t="shared" si="5"/>
        <v>8.198924731182796</v>
      </c>
      <c r="H6" s="3">
        <f t="shared" si="0"/>
        <v>15.74074074074074</v>
      </c>
      <c r="I6" s="3">
        <f t="shared" si="1"/>
        <v>12</v>
      </c>
      <c r="K6" s="1" t="s">
        <v>7</v>
      </c>
      <c r="L6" s="2">
        <f t="shared" si="6"/>
        <v>4.0666666666666664</v>
      </c>
      <c r="M6" s="2">
        <f t="shared" si="2"/>
        <v>7.9333333333333336</v>
      </c>
      <c r="N6" s="2">
        <f t="shared" si="2"/>
        <v>12</v>
      </c>
      <c r="P6" s="1"/>
      <c r="Q6" s="1" t="s">
        <v>20</v>
      </c>
      <c r="R6">
        <v>168</v>
      </c>
      <c r="S6">
        <v>107</v>
      </c>
      <c r="T6">
        <v>275</v>
      </c>
      <c r="V6" s="1"/>
      <c r="W6" s="1" t="s">
        <v>20</v>
      </c>
      <c r="X6" s="2">
        <f t="shared" si="7"/>
        <v>20.168067226890756</v>
      </c>
      <c r="Y6" s="2">
        <f t="shared" si="3"/>
        <v>10.408560311284047</v>
      </c>
      <c r="Z6" s="2">
        <f t="shared" si="3"/>
        <v>14.777001612036539</v>
      </c>
      <c r="AB6" s="1"/>
      <c r="AC6" s="1" t="s">
        <v>20</v>
      </c>
      <c r="AD6" s="2">
        <f t="shared" si="8"/>
        <v>9.0274046211714136</v>
      </c>
      <c r="AE6" s="2">
        <f t="shared" si="4"/>
        <v>5.7495969908651263</v>
      </c>
      <c r="AF6" s="2">
        <f t="shared" si="4"/>
        <v>14.777001612036539</v>
      </c>
    </row>
    <row r="7" spans="1:32" x14ac:dyDescent="0.2">
      <c r="A7" s="1" t="s">
        <v>14</v>
      </c>
      <c r="B7">
        <v>744</v>
      </c>
      <c r="C7">
        <v>756</v>
      </c>
      <c r="D7">
        <v>1500</v>
      </c>
      <c r="F7" s="1" t="s">
        <v>14</v>
      </c>
      <c r="G7" s="3">
        <f t="shared" si="5"/>
        <v>100</v>
      </c>
      <c r="H7" s="3">
        <f t="shared" si="0"/>
        <v>100</v>
      </c>
      <c r="I7" s="3">
        <f t="shared" si="1"/>
        <v>100</v>
      </c>
      <c r="K7" s="1" t="s">
        <v>14</v>
      </c>
      <c r="L7" s="2">
        <f t="shared" si="6"/>
        <v>49.6</v>
      </c>
      <c r="M7" s="2">
        <f t="shared" si="2"/>
        <v>50.4</v>
      </c>
      <c r="N7" s="2">
        <f t="shared" si="2"/>
        <v>100</v>
      </c>
      <c r="P7" s="1" t="s">
        <v>6</v>
      </c>
      <c r="Q7" s="1" t="s">
        <v>19</v>
      </c>
      <c r="R7">
        <v>72</v>
      </c>
      <c r="S7">
        <v>163</v>
      </c>
      <c r="T7">
        <v>235</v>
      </c>
      <c r="V7" s="1" t="s">
        <v>6</v>
      </c>
      <c r="W7" s="1" t="s">
        <v>19</v>
      </c>
      <c r="X7" s="2">
        <f t="shared" si="7"/>
        <v>8.6434573829531818</v>
      </c>
      <c r="Y7" s="2">
        <f t="shared" si="3"/>
        <v>15.856031128404668</v>
      </c>
      <c r="Z7" s="2">
        <f t="shared" si="3"/>
        <v>12.627619559376679</v>
      </c>
      <c r="AB7" s="1" t="s">
        <v>6</v>
      </c>
      <c r="AC7" s="1" t="s">
        <v>19</v>
      </c>
      <c r="AD7" s="2">
        <f t="shared" si="8"/>
        <v>3.8688876947877482</v>
      </c>
      <c r="AE7" s="2">
        <f t="shared" si="4"/>
        <v>8.7587318645889312</v>
      </c>
      <c r="AF7" s="2">
        <f t="shared" si="4"/>
        <v>12.627619559376679</v>
      </c>
    </row>
    <row r="8" spans="1:32" x14ac:dyDescent="0.2">
      <c r="A8" t="s">
        <v>9</v>
      </c>
      <c r="P8" s="1"/>
      <c r="Q8" s="1" t="s">
        <v>20</v>
      </c>
      <c r="R8">
        <v>79</v>
      </c>
      <c r="S8">
        <v>99</v>
      </c>
      <c r="T8">
        <v>178</v>
      </c>
      <c r="V8" s="1"/>
      <c r="W8" s="1" t="s">
        <v>20</v>
      </c>
      <c r="X8" s="2">
        <f t="shared" si="7"/>
        <v>9.4837935174069639</v>
      </c>
      <c r="Y8" s="2">
        <f t="shared" si="3"/>
        <v>9.6303501945525305</v>
      </c>
      <c r="Z8" s="2">
        <f t="shared" si="3"/>
        <v>9.5647501343363786</v>
      </c>
      <c r="AB8" s="1"/>
      <c r="AC8" s="1" t="s">
        <v>20</v>
      </c>
      <c r="AD8" s="2">
        <f t="shared" si="8"/>
        <v>4.2450295540032243</v>
      </c>
      <c r="AE8" s="2">
        <f t="shared" si="4"/>
        <v>5.3197205803331542</v>
      </c>
      <c r="AF8" s="2">
        <f t="shared" si="4"/>
        <v>9.5647501343363786</v>
      </c>
    </row>
    <row r="9" spans="1:32" x14ac:dyDescent="0.2">
      <c r="A9" s="1" t="s">
        <v>15</v>
      </c>
      <c r="B9" s="1" t="s">
        <v>12</v>
      </c>
      <c r="C9" s="1" t="s">
        <v>13</v>
      </c>
      <c r="D9" s="1" t="s">
        <v>14</v>
      </c>
      <c r="F9" s="1" t="s">
        <v>15</v>
      </c>
      <c r="G9" s="1" t="s">
        <v>12</v>
      </c>
      <c r="H9" s="1" t="s">
        <v>13</v>
      </c>
      <c r="I9" s="1" t="s">
        <v>14</v>
      </c>
      <c r="K9" s="1" t="s">
        <v>15</v>
      </c>
      <c r="L9" s="1" t="s">
        <v>12</v>
      </c>
      <c r="M9" s="1" t="s">
        <v>13</v>
      </c>
      <c r="N9" s="1" t="s">
        <v>14</v>
      </c>
      <c r="P9" s="1" t="s">
        <v>7</v>
      </c>
      <c r="Q9" s="1" t="s">
        <v>19</v>
      </c>
      <c r="R9">
        <v>49</v>
      </c>
      <c r="S9">
        <v>180</v>
      </c>
      <c r="T9">
        <v>229</v>
      </c>
      <c r="V9" s="1" t="s">
        <v>7</v>
      </c>
      <c r="W9" s="1" t="s">
        <v>19</v>
      </c>
      <c r="X9" s="2">
        <f t="shared" si="7"/>
        <v>5.8823529411764701</v>
      </c>
      <c r="Y9" s="2">
        <f t="shared" si="3"/>
        <v>17.509727626459142</v>
      </c>
      <c r="Z9" s="2">
        <f t="shared" si="3"/>
        <v>12.3052122514777</v>
      </c>
      <c r="AB9" s="1" t="s">
        <v>7</v>
      </c>
      <c r="AC9" s="1" t="s">
        <v>19</v>
      </c>
      <c r="AD9" s="2">
        <f t="shared" si="8"/>
        <v>2.6329930145083287</v>
      </c>
      <c r="AE9" s="2">
        <f t="shared" si="4"/>
        <v>9.6722192369693722</v>
      </c>
      <c r="AF9" s="2">
        <f t="shared" si="4"/>
        <v>12.3052122514777</v>
      </c>
    </row>
    <row r="10" spans="1:32" x14ac:dyDescent="0.2">
      <c r="A10" s="1" t="s">
        <v>4</v>
      </c>
      <c r="B10" s="4">
        <v>411248998.93067998</v>
      </c>
      <c r="C10" s="4">
        <v>263537843.32745999</v>
      </c>
      <c r="D10" s="4">
        <v>674786842.25813997</v>
      </c>
      <c r="F10" s="1" t="s">
        <v>4</v>
      </c>
      <c r="G10" s="3">
        <f>B10/B$14*100</f>
        <v>25.138467953334359</v>
      </c>
      <c r="H10" s="3">
        <f t="shared" ref="H10:I14" si="9">C10/C$14*100</f>
        <v>14.824162946140856</v>
      </c>
      <c r="I10" s="3">
        <f t="shared" si="9"/>
        <v>19.767058887781044</v>
      </c>
      <c r="K10" s="1" t="s">
        <v>4</v>
      </c>
      <c r="L10" s="2">
        <f>B10/$D$14*100</f>
        <v>12.047038665128467</v>
      </c>
      <c r="M10" s="2">
        <f t="shared" ref="M10:N14" si="10">C10/$D$14*100</f>
        <v>7.7200202226525789</v>
      </c>
      <c r="N10" s="2">
        <f t="shared" si="10"/>
        <v>19.767058887781044</v>
      </c>
      <c r="P10" s="1"/>
      <c r="Q10" s="1" t="s">
        <v>20</v>
      </c>
      <c r="R10">
        <v>70</v>
      </c>
      <c r="S10">
        <v>96</v>
      </c>
      <c r="T10">
        <v>166</v>
      </c>
      <c r="V10" s="1"/>
      <c r="W10" s="1" t="s">
        <v>20</v>
      </c>
      <c r="X10" s="2">
        <f t="shared" si="7"/>
        <v>8.4033613445378155</v>
      </c>
      <c r="Y10" s="2">
        <f t="shared" si="3"/>
        <v>9.3385214007782107</v>
      </c>
      <c r="Z10" s="2">
        <f t="shared" si="3"/>
        <v>8.9199355185384199</v>
      </c>
      <c r="AB10" s="1"/>
      <c r="AC10" s="1" t="s">
        <v>20</v>
      </c>
      <c r="AD10" s="2">
        <f t="shared" si="8"/>
        <v>3.7614185921547554</v>
      </c>
      <c r="AE10" s="2">
        <f t="shared" si="4"/>
        <v>5.1585169263836645</v>
      </c>
      <c r="AF10" s="2">
        <f t="shared" si="4"/>
        <v>8.9199355185384199</v>
      </c>
    </row>
    <row r="11" spans="1:32" x14ac:dyDescent="0.2">
      <c r="A11" s="1" t="s">
        <v>5</v>
      </c>
      <c r="B11" s="4">
        <v>666063640.79104996</v>
      </c>
      <c r="C11" s="4">
        <v>429238762.18778002</v>
      </c>
      <c r="D11" s="4">
        <v>1095302402.9788301</v>
      </c>
      <c r="F11" s="1" t="s">
        <v>5</v>
      </c>
      <c r="G11" s="3">
        <f t="shared" ref="G11:G14" si="11">B11/B$14*100</f>
        <v>40.714553792091664</v>
      </c>
      <c r="H11" s="3">
        <f t="shared" si="9"/>
        <v>24.14493976701841</v>
      </c>
      <c r="I11" s="3">
        <f t="shared" si="9"/>
        <v>32.085550197091806</v>
      </c>
      <c r="K11" s="1" t="s">
        <v>5</v>
      </c>
      <c r="L11" s="2">
        <f t="shared" ref="L11:L14" si="12">B11/$D$14*100</f>
        <v>19.51152332263441</v>
      </c>
      <c r="M11" s="2">
        <f t="shared" si="10"/>
        <v>12.574026874457388</v>
      </c>
      <c r="N11" s="2">
        <f t="shared" si="10"/>
        <v>32.085550197091806</v>
      </c>
      <c r="P11" s="1" t="s">
        <v>3</v>
      </c>
      <c r="Q11" s="1"/>
      <c r="R11">
        <v>833</v>
      </c>
      <c r="S11">
        <v>1028</v>
      </c>
      <c r="T11">
        <v>1861</v>
      </c>
      <c r="V11" s="1" t="s">
        <v>3</v>
      </c>
      <c r="W11" s="1"/>
      <c r="X11" s="2">
        <f t="shared" si="7"/>
        <v>100</v>
      </c>
      <c r="Y11" s="2">
        <f t="shared" si="3"/>
        <v>100</v>
      </c>
      <c r="Z11" s="2">
        <f t="shared" si="3"/>
        <v>100</v>
      </c>
      <c r="AB11" s="1" t="s">
        <v>3</v>
      </c>
      <c r="AC11" s="1"/>
      <c r="AD11" s="2">
        <f t="shared" si="8"/>
        <v>44.760881246641596</v>
      </c>
      <c r="AE11" s="2">
        <f t="shared" si="4"/>
        <v>55.239118753358404</v>
      </c>
      <c r="AF11" s="2">
        <f t="shared" si="4"/>
        <v>100</v>
      </c>
    </row>
    <row r="12" spans="1:32" x14ac:dyDescent="0.2">
      <c r="A12" s="1" t="s">
        <v>6</v>
      </c>
      <c r="B12" s="4">
        <v>313680063.06397003</v>
      </c>
      <c r="C12" s="4">
        <v>531388149.52855998</v>
      </c>
      <c r="D12" s="4">
        <v>845068212.59253001</v>
      </c>
      <c r="F12" s="1" t="s">
        <v>6</v>
      </c>
      <c r="G12" s="3">
        <f t="shared" si="11"/>
        <v>19.174359654216879</v>
      </c>
      <c r="H12" s="3">
        <f t="shared" si="9"/>
        <v>29.890904534995233</v>
      </c>
      <c r="I12" s="3">
        <f t="shared" si="9"/>
        <v>24.755244288118607</v>
      </c>
      <c r="K12" s="1" t="s">
        <v>6</v>
      </c>
      <c r="L12" s="2">
        <f t="shared" si="12"/>
        <v>9.1888754940131925</v>
      </c>
      <c r="M12" s="2">
        <f t="shared" si="10"/>
        <v>15.566368794105417</v>
      </c>
      <c r="N12" s="2">
        <f t="shared" si="10"/>
        <v>24.755244288118607</v>
      </c>
    </row>
    <row r="13" spans="1:32" x14ac:dyDescent="0.2">
      <c r="A13" s="1" t="s">
        <v>7</v>
      </c>
      <c r="B13" s="4">
        <v>244942310.01659</v>
      </c>
      <c r="C13" s="4">
        <v>553593923.7088927</v>
      </c>
      <c r="D13" s="4">
        <v>798536233.7254827</v>
      </c>
      <c r="F13" s="1" t="s">
        <v>7</v>
      </c>
      <c r="G13" s="3">
        <f t="shared" si="11"/>
        <v>14.972618600357102</v>
      </c>
      <c r="H13" s="3">
        <f t="shared" si="9"/>
        <v>31.13999275184549</v>
      </c>
      <c r="I13" s="3">
        <f t="shared" si="9"/>
        <v>23.392146627008557</v>
      </c>
      <c r="K13" s="1" t="s">
        <v>7</v>
      </c>
      <c r="L13" s="2">
        <f t="shared" si="12"/>
        <v>7.1752867172161423</v>
      </c>
      <c r="M13" s="2">
        <f t="shared" si="10"/>
        <v>16.216859909792415</v>
      </c>
      <c r="N13" s="2">
        <f t="shared" si="10"/>
        <v>23.392146627008557</v>
      </c>
    </row>
    <row r="14" spans="1:32" x14ac:dyDescent="0.2">
      <c r="A14" s="1" t="s">
        <v>14</v>
      </c>
      <c r="B14" s="4">
        <v>1635935012.80229</v>
      </c>
      <c r="C14" s="4">
        <v>1777758678.7526929</v>
      </c>
      <c r="D14" s="4">
        <v>3413693691.5549822</v>
      </c>
      <c r="F14" s="1" t="s">
        <v>14</v>
      </c>
      <c r="G14" s="3">
        <f t="shared" si="11"/>
        <v>100</v>
      </c>
      <c r="H14" s="3">
        <f t="shared" si="9"/>
        <v>100</v>
      </c>
      <c r="I14" s="3">
        <f t="shared" si="9"/>
        <v>100</v>
      </c>
      <c r="K14" s="1" t="s">
        <v>14</v>
      </c>
      <c r="L14" s="2">
        <f t="shared" si="12"/>
        <v>47.922724198992213</v>
      </c>
      <c r="M14" s="2">
        <f t="shared" si="10"/>
        <v>52.077275801007808</v>
      </c>
      <c r="N14" s="2">
        <f t="shared" si="10"/>
        <v>100</v>
      </c>
    </row>
    <row r="15" spans="1:32" x14ac:dyDescent="0.2">
      <c r="A15" t="s">
        <v>10</v>
      </c>
    </row>
    <row r="16" spans="1:32" x14ac:dyDescent="0.2">
      <c r="A16" s="1" t="s">
        <v>15</v>
      </c>
      <c r="B16" s="1" t="s">
        <v>12</v>
      </c>
      <c r="C16" s="1" t="s">
        <v>13</v>
      </c>
      <c r="D16" s="1" t="s">
        <v>14</v>
      </c>
      <c r="F16" s="1" t="s">
        <v>15</v>
      </c>
      <c r="G16" s="1" t="s">
        <v>12</v>
      </c>
      <c r="H16" s="1" t="s">
        <v>13</v>
      </c>
      <c r="I16" s="1" t="s">
        <v>14</v>
      </c>
      <c r="K16" s="1" t="s">
        <v>15</v>
      </c>
      <c r="L16" s="1" t="s">
        <v>12</v>
      </c>
      <c r="M16" s="1" t="s">
        <v>13</v>
      </c>
      <c r="N16" s="1" t="s">
        <v>14</v>
      </c>
    </row>
    <row r="17" spans="1:14" x14ac:dyDescent="0.2">
      <c r="A17" s="1" t="s">
        <v>4</v>
      </c>
      <c r="B17" s="4">
        <v>1699376.0286391729</v>
      </c>
      <c r="C17" s="4">
        <v>1472278.454343352</v>
      </c>
      <c r="D17" s="4">
        <v>1602819.102750926</v>
      </c>
      <c r="F17" s="1" t="s">
        <v>4</v>
      </c>
      <c r="G17" s="3">
        <f>B17/B$21*100</f>
        <v>86.530346302179794</v>
      </c>
      <c r="H17" s="3">
        <f t="shared" ref="H17:I21" si="13">C17/C$21*100</f>
        <v>85.135416249345269</v>
      </c>
      <c r="I17" s="3">
        <f t="shared" si="13"/>
        <v>87.378851758100978</v>
      </c>
      <c r="K17" s="1" t="s">
        <v>4</v>
      </c>
      <c r="L17" s="2">
        <f>B17/$D$21*100</f>
        <v>92.642722957868045</v>
      </c>
      <c r="M17" s="2">
        <f t="shared" ref="M17:N21" si="14">C17/$D$21*100</f>
        <v>80.262333152829328</v>
      </c>
      <c r="N17" s="2">
        <f t="shared" si="14"/>
        <v>87.378851758100978</v>
      </c>
    </row>
    <row r="18" spans="1:14" x14ac:dyDescent="0.2">
      <c r="A18" s="1" t="s">
        <v>5</v>
      </c>
      <c r="B18" s="4">
        <v>2074964.6130562299</v>
      </c>
      <c r="C18" s="4">
        <v>1380188.9459414149</v>
      </c>
      <c r="D18" s="4">
        <v>1733073.422434858</v>
      </c>
      <c r="F18" s="1" t="s">
        <v>5</v>
      </c>
      <c r="G18" s="3">
        <f t="shared" ref="G18:G21" si="15">B18/B$21*100</f>
        <v>105.65490127355869</v>
      </c>
      <c r="H18" s="3">
        <f t="shared" si="13"/>
        <v>79.810283217025486</v>
      </c>
      <c r="I18" s="3">
        <f t="shared" si="13"/>
        <v>94.479760944284578</v>
      </c>
      <c r="K18" s="1" t="s">
        <v>5</v>
      </c>
      <c r="L18" s="2">
        <f t="shared" ref="L18:L21" si="16">B18/$D$21*100</f>
        <v>113.11820842187734</v>
      </c>
      <c r="M18" s="2">
        <f t="shared" si="14"/>
        <v>75.242006473843091</v>
      </c>
      <c r="N18" s="2">
        <f t="shared" si="14"/>
        <v>94.479760944284578</v>
      </c>
    </row>
    <row r="19" spans="1:14" x14ac:dyDescent="0.2">
      <c r="A19" s="1" t="s">
        <v>6</v>
      </c>
      <c r="B19" s="4">
        <v>2077351.4110196689</v>
      </c>
      <c r="C19" s="4">
        <v>2028199.0440021369</v>
      </c>
      <c r="D19" s="4">
        <v>2046170.0062773121</v>
      </c>
      <c r="F19" s="1" t="s">
        <v>6</v>
      </c>
      <c r="G19" s="3">
        <f t="shared" si="15"/>
        <v>105.77643438385866</v>
      </c>
      <c r="H19" s="3">
        <f t="shared" si="13"/>
        <v>117.28186970219498</v>
      </c>
      <c r="I19" s="3">
        <f t="shared" si="13"/>
        <v>111.54844944355622</v>
      </c>
      <c r="K19" s="1" t="s">
        <v>6</v>
      </c>
      <c r="L19" s="2">
        <f t="shared" si="16"/>
        <v>113.24832645270561</v>
      </c>
      <c r="M19" s="2">
        <f t="shared" si="14"/>
        <v>110.56874933522967</v>
      </c>
      <c r="N19" s="2">
        <f t="shared" si="14"/>
        <v>111.54844944355622</v>
      </c>
    </row>
    <row r="20" spans="1:14" x14ac:dyDescent="0.2">
      <c r="A20" s="1" t="s">
        <v>7</v>
      </c>
      <c r="B20" s="4">
        <v>2058338.73963521</v>
      </c>
      <c r="C20" s="4">
        <v>2005775.0859017849</v>
      </c>
      <c r="D20" s="4">
        <v>2021610.7182923609</v>
      </c>
      <c r="F20" s="1" t="s">
        <v>7</v>
      </c>
      <c r="G20" s="3">
        <f t="shared" si="15"/>
        <v>104.80833020249969</v>
      </c>
      <c r="H20" s="3">
        <f t="shared" si="13"/>
        <v>115.98519039455493</v>
      </c>
      <c r="I20" s="3">
        <f t="shared" si="13"/>
        <v>110.20958195661497</v>
      </c>
      <c r="K20" s="1" t="s">
        <v>7</v>
      </c>
      <c r="L20" s="2">
        <f t="shared" si="16"/>
        <v>112.21183681293476</v>
      </c>
      <c r="M20" s="2">
        <f t="shared" si="14"/>
        <v>109.3462909134916</v>
      </c>
      <c r="N20" s="2">
        <f t="shared" si="14"/>
        <v>110.20958195661497</v>
      </c>
    </row>
    <row r="21" spans="1:14" x14ac:dyDescent="0.2">
      <c r="A21" s="1" t="s">
        <v>14</v>
      </c>
      <c r="B21" s="4">
        <v>1963907.5783941059</v>
      </c>
      <c r="C21" s="4">
        <v>1729337.236140752</v>
      </c>
      <c r="D21" s="4">
        <v>1834332.9884766161</v>
      </c>
      <c r="F21" s="1" t="s">
        <v>14</v>
      </c>
      <c r="G21" s="3">
        <f t="shared" si="15"/>
        <v>100</v>
      </c>
      <c r="H21" s="3">
        <f t="shared" si="13"/>
        <v>100</v>
      </c>
      <c r="I21" s="3">
        <f t="shared" si="13"/>
        <v>100</v>
      </c>
      <c r="K21" s="1" t="s">
        <v>14</v>
      </c>
      <c r="L21" s="2">
        <f t="shared" si="16"/>
        <v>107.0638532224784</v>
      </c>
      <c r="M21" s="2">
        <f t="shared" si="14"/>
        <v>94.276080024976196</v>
      </c>
      <c r="N21" s="2">
        <f t="shared" si="14"/>
        <v>100</v>
      </c>
    </row>
    <row r="22" spans="1:14" x14ac:dyDescent="0.2">
      <c r="A22" t="s">
        <v>11</v>
      </c>
    </row>
    <row r="23" spans="1:14" x14ac:dyDescent="0.2">
      <c r="A23" s="1" t="s">
        <v>15</v>
      </c>
      <c r="B23" s="1" t="s">
        <v>12</v>
      </c>
      <c r="C23" s="1" t="s">
        <v>13</v>
      </c>
      <c r="D23" s="1" t="s">
        <v>14</v>
      </c>
      <c r="F23" s="1" t="s">
        <v>15</v>
      </c>
      <c r="G23" s="1" t="s">
        <v>12</v>
      </c>
      <c r="H23" s="1" t="s">
        <v>13</v>
      </c>
      <c r="I23" s="1" t="s">
        <v>14</v>
      </c>
      <c r="K23" s="1" t="s">
        <v>15</v>
      </c>
      <c r="L23" s="1" t="s">
        <v>12</v>
      </c>
      <c r="M23" s="1" t="s">
        <v>13</v>
      </c>
      <c r="N23" s="1" t="s">
        <v>14</v>
      </c>
    </row>
    <row r="24" spans="1:14" x14ac:dyDescent="0.2">
      <c r="A24" s="1" t="s">
        <v>4</v>
      </c>
      <c r="B24" s="4">
        <v>10124898.416107001</v>
      </c>
      <c r="C24" s="4">
        <v>7040263.2196500003</v>
      </c>
      <c r="D24" s="4">
        <v>17165161.635756999</v>
      </c>
      <c r="F24" s="1" t="s">
        <v>4</v>
      </c>
      <c r="G24" s="3">
        <f>B24/B$28*100</f>
        <v>17.832949586014696</v>
      </c>
      <c r="H24" s="3">
        <f t="shared" ref="H24:I28" si="17">C24/C$28*100</f>
        <v>8.4671931316636453</v>
      </c>
      <c r="I24" s="3">
        <f t="shared" si="17"/>
        <v>12.267498171967194</v>
      </c>
      <c r="K24" s="1" t="s">
        <v>4</v>
      </c>
      <c r="L24" s="2">
        <f>B24/$D$28*100</f>
        <v>7.2360036827272518</v>
      </c>
      <c r="M24" s="2">
        <f t="shared" ref="M24:N28" si="18">C24/$D$28*100</f>
        <v>5.0314944892399449</v>
      </c>
      <c r="N24" s="2">
        <f t="shared" si="18"/>
        <v>12.267498171967194</v>
      </c>
    </row>
    <row r="25" spans="1:14" x14ac:dyDescent="0.2">
      <c r="A25" s="1" t="s">
        <v>5</v>
      </c>
      <c r="B25" s="4">
        <v>28871840.806729998</v>
      </c>
      <c r="C25" s="4">
        <v>21924630.519450001</v>
      </c>
      <c r="D25" s="4">
        <v>50796471.326180004</v>
      </c>
      <c r="F25" s="1" t="s">
        <v>5</v>
      </c>
      <c r="G25" s="3">
        <f t="shared" ref="G25:G28" si="19">B25/B$28*100</f>
        <v>50.85187627589297</v>
      </c>
      <c r="H25" s="3">
        <f t="shared" si="17"/>
        <v>26.368343790103221</v>
      </c>
      <c r="I25" s="3">
        <f t="shared" si="17"/>
        <v>36.30292754355505</v>
      </c>
      <c r="K25" s="1" t="s">
        <v>5</v>
      </c>
      <c r="L25" s="2">
        <f t="shared" ref="L25:L28" si="20">B25/$D$28*100</f>
        <v>20.633959751365211</v>
      </c>
      <c r="M25" s="2">
        <f t="shared" si="18"/>
        <v>15.668967792189839</v>
      </c>
      <c r="N25" s="2">
        <f t="shared" si="18"/>
        <v>36.30292754355505</v>
      </c>
    </row>
    <row r="26" spans="1:14" x14ac:dyDescent="0.2">
      <c r="A26" s="1" t="s">
        <v>6</v>
      </c>
      <c r="B26" s="4">
        <v>10753991.173559999</v>
      </c>
      <c r="C26" s="4">
        <v>24637888.245669998</v>
      </c>
      <c r="D26" s="4">
        <v>35391879.419229999</v>
      </c>
      <c r="F26" s="1" t="s">
        <v>6</v>
      </c>
      <c r="G26" s="3">
        <f t="shared" si="19"/>
        <v>18.940968547542195</v>
      </c>
      <c r="H26" s="3">
        <f t="shared" si="17"/>
        <v>29.631528200561299</v>
      </c>
      <c r="I26" s="3">
        <f t="shared" si="17"/>
        <v>25.293663135304357</v>
      </c>
      <c r="K26" s="1" t="s">
        <v>6</v>
      </c>
      <c r="L26" s="2">
        <f t="shared" si="20"/>
        <v>7.6856000463278287</v>
      </c>
      <c r="M26" s="2">
        <f t="shared" si="18"/>
        <v>17.608063088976529</v>
      </c>
      <c r="N26" s="2">
        <f t="shared" si="18"/>
        <v>25.293663135304357</v>
      </c>
    </row>
    <row r="27" spans="1:14" x14ac:dyDescent="0.2">
      <c r="A27" s="1" t="s">
        <v>7</v>
      </c>
      <c r="B27" s="4">
        <v>7025622.6531699998</v>
      </c>
      <c r="C27" s="4">
        <v>29544763.01833684</v>
      </c>
      <c r="D27" s="4">
        <v>36570385.671506837</v>
      </c>
      <c r="F27" s="1" t="s">
        <v>7</v>
      </c>
      <c r="G27" s="3">
        <f t="shared" si="19"/>
        <v>12.374205590550131</v>
      </c>
      <c r="H27" s="3">
        <f t="shared" si="17"/>
        <v>35.532934877671849</v>
      </c>
      <c r="I27" s="3">
        <f t="shared" si="17"/>
        <v>26.135911149173435</v>
      </c>
      <c r="K27" s="1" t="s">
        <v>7</v>
      </c>
      <c r="L27" s="2">
        <f t="shared" si="20"/>
        <v>5.0210312540930158</v>
      </c>
      <c r="M27" s="2">
        <f t="shared" si="18"/>
        <v>21.114879895080417</v>
      </c>
      <c r="N27" s="2">
        <f t="shared" si="18"/>
        <v>26.135911149173435</v>
      </c>
    </row>
    <row r="28" spans="1:14" x14ac:dyDescent="0.2">
      <c r="A28" s="1" t="s">
        <v>14</v>
      </c>
      <c r="B28" s="4">
        <v>56776353.049566999</v>
      </c>
      <c r="C28" s="4">
        <v>83147545.003106833</v>
      </c>
      <c r="D28" s="4">
        <v>139923898.05267379</v>
      </c>
      <c r="F28" s="1" t="s">
        <v>14</v>
      </c>
      <c r="G28" s="3">
        <f t="shared" si="19"/>
        <v>100</v>
      </c>
      <c r="H28" s="3">
        <f t="shared" si="17"/>
        <v>100</v>
      </c>
      <c r="I28" s="3">
        <f t="shared" si="17"/>
        <v>100</v>
      </c>
      <c r="K28" s="1" t="s">
        <v>14</v>
      </c>
      <c r="L28" s="2">
        <f t="shared" si="20"/>
        <v>40.576594734513307</v>
      </c>
      <c r="M28" s="2">
        <f t="shared" si="18"/>
        <v>59.423405265486728</v>
      </c>
      <c r="N28" s="2">
        <f t="shared" si="18"/>
        <v>100</v>
      </c>
    </row>
    <row r="30" spans="1:14" x14ac:dyDescent="0.2">
      <c r="A30" s="1" t="s">
        <v>21</v>
      </c>
      <c r="B30" s="1" t="s">
        <v>12</v>
      </c>
      <c r="C30" s="1" t="s">
        <v>13</v>
      </c>
      <c r="D30" s="1" t="s">
        <v>14</v>
      </c>
      <c r="F30" s="1" t="s">
        <v>21</v>
      </c>
      <c r="G30" s="1" t="s">
        <v>12</v>
      </c>
      <c r="H30" s="1" t="s">
        <v>13</v>
      </c>
      <c r="I30" s="1" t="s">
        <v>14</v>
      </c>
    </row>
    <row r="31" spans="1:14" x14ac:dyDescent="0.2">
      <c r="A31" s="1" t="s">
        <v>22</v>
      </c>
      <c r="B31">
        <v>390</v>
      </c>
      <c r="C31">
        <v>683</v>
      </c>
      <c r="D31">
        <v>1073</v>
      </c>
      <c r="F31" s="1" t="s">
        <v>22</v>
      </c>
      <c r="G31" s="3">
        <f>B31/B$33*100</f>
        <v>46.818727490996395</v>
      </c>
      <c r="H31" s="3">
        <f t="shared" ref="H31:I33" si="21">C31/C$33*100</f>
        <v>66.439688715953309</v>
      </c>
      <c r="I31" s="3">
        <f t="shared" si="21"/>
        <v>57.657173562600747</v>
      </c>
    </row>
    <row r="32" spans="1:14" x14ac:dyDescent="0.2">
      <c r="A32" s="1" t="s">
        <v>23</v>
      </c>
      <c r="B32">
        <v>443</v>
      </c>
      <c r="C32">
        <v>345</v>
      </c>
      <c r="D32">
        <v>788</v>
      </c>
      <c r="F32" s="1" t="s">
        <v>23</v>
      </c>
      <c r="G32" s="3">
        <f t="shared" ref="G32:G33" si="22">B32/B$33*100</f>
        <v>53.181272509003598</v>
      </c>
      <c r="H32" s="3">
        <f t="shared" si="21"/>
        <v>33.560311284046691</v>
      </c>
      <c r="I32" s="3">
        <f t="shared" si="21"/>
        <v>42.342826437399253</v>
      </c>
    </row>
    <row r="33" spans="1:9" x14ac:dyDescent="0.2">
      <c r="A33" s="1" t="s">
        <v>14</v>
      </c>
      <c r="B33">
        <v>833</v>
      </c>
      <c r="C33">
        <v>1028</v>
      </c>
      <c r="D33">
        <v>1861</v>
      </c>
      <c r="F33" s="1" t="s">
        <v>14</v>
      </c>
      <c r="G33" s="3">
        <f t="shared" si="22"/>
        <v>100</v>
      </c>
      <c r="H33" s="3">
        <f t="shared" si="21"/>
        <v>100</v>
      </c>
      <c r="I33" s="3">
        <f t="shared" si="21"/>
        <v>100</v>
      </c>
    </row>
    <row r="35" spans="1:9" x14ac:dyDescent="0.2">
      <c r="A35" s="1" t="s">
        <v>15</v>
      </c>
      <c r="B35" s="1" t="s">
        <v>24</v>
      </c>
      <c r="C35" s="1" t="s">
        <v>25</v>
      </c>
      <c r="D35" s="1" t="s">
        <v>26</v>
      </c>
      <c r="E35" s="1" t="s">
        <v>3</v>
      </c>
    </row>
    <row r="36" spans="1:9" x14ac:dyDescent="0.2">
      <c r="A36" s="1" t="s">
        <v>4</v>
      </c>
      <c r="B36">
        <v>279</v>
      </c>
      <c r="C36">
        <v>4</v>
      </c>
      <c r="D36">
        <v>138</v>
      </c>
      <c r="E36">
        <v>421</v>
      </c>
    </row>
    <row r="37" spans="1:9" x14ac:dyDescent="0.2">
      <c r="A37" s="1" t="s">
        <v>5</v>
      </c>
      <c r="B37">
        <v>254</v>
      </c>
      <c r="C37">
        <v>3</v>
      </c>
      <c r="D37">
        <v>375</v>
      </c>
      <c r="E37">
        <v>632</v>
      </c>
    </row>
    <row r="38" spans="1:9" x14ac:dyDescent="0.2">
      <c r="A38" s="1" t="s">
        <v>6</v>
      </c>
      <c r="B38">
        <v>96</v>
      </c>
      <c r="C38">
        <v>2</v>
      </c>
      <c r="D38">
        <v>315</v>
      </c>
      <c r="E38">
        <v>413</v>
      </c>
    </row>
    <row r="39" spans="1:9" x14ac:dyDescent="0.2">
      <c r="A39" s="1" t="s">
        <v>7</v>
      </c>
      <c r="B39">
        <v>61</v>
      </c>
      <c r="C39">
        <v>2</v>
      </c>
      <c r="D39">
        <v>332</v>
      </c>
      <c r="E39">
        <v>395</v>
      </c>
    </row>
    <row r="40" spans="1:9" x14ac:dyDescent="0.2">
      <c r="A40" s="1" t="s">
        <v>3</v>
      </c>
      <c r="B40">
        <v>690</v>
      </c>
      <c r="C40">
        <v>11</v>
      </c>
      <c r="D40">
        <v>1160</v>
      </c>
      <c r="E40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2022</vt:lpstr>
      <vt:lpstr>Lista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Pietruszewski</dc:creator>
  <cp:lastModifiedBy>Pawel Pietruszewski</cp:lastModifiedBy>
  <dcterms:created xsi:type="dcterms:W3CDTF">2024-10-17T09:16:28Z</dcterms:created>
  <dcterms:modified xsi:type="dcterms:W3CDTF">2024-10-24T08:10:58Z</dcterms:modified>
</cp:coreProperties>
</file>