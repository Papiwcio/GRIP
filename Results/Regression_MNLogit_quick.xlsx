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s_wide" sheetId="1" r:id="rId1"/>
    <sheet name="se_wide" sheetId="2" r:id="rId2"/>
    <sheet name="pvalues_wide" sheetId="3" r:id="rId3"/>
    <sheet name="CI_lo_wide" sheetId="4" r:id="rId4"/>
    <sheet name="CI_hi_wide" sheetId="5" r:id="rId5"/>
    <sheet name="OR_wide" sheetId="6" r:id="rId6"/>
    <sheet name="OR_CI_lo_wide" sheetId="7" r:id="rId7"/>
    <sheet name="OR_CI_hi_wide" sheetId="8" r:id="rId8"/>
    <sheet name="tidy_all" sheetId="9" r:id="rId9"/>
    <sheet name="marginal_effects" sheetId="10" r:id="rId10"/>
    <sheet name="summary_text" sheetId="11" r:id="rId11"/>
  </sheets>
  <calcPr calcId="124519" fullCalcOnLoad="1"/>
</workbook>
</file>

<file path=xl/sharedStrings.xml><?xml version="1.0" encoding="utf-8"?>
<sst xmlns="http://schemas.openxmlformats.org/spreadsheetml/2006/main" count="401" uniqueCount="116">
  <si>
    <t>Starting_INT_z</t>
  </si>
  <si>
    <t>Starting_BS_Strength_z</t>
  </si>
  <si>
    <t>Starting_Size_ln_z</t>
  </si>
  <si>
    <t>Starting_Profit_z</t>
  </si>
  <si>
    <t>Foreign</t>
  </si>
  <si>
    <t>HGX_Increased Export Intensity</t>
  </si>
  <si>
    <t>Starting_INT_Mult_Starting_Size_ln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</si>
  <si>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</si>
  <si>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</si>
  <si>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</si>
  <si>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</si>
  <si>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</si>
  <si>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</si>
  <si>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</si>
  <si>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</si>
  <si>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</si>
  <si>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</si>
  <si>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</si>
  <si>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</si>
  <si>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</si>
  <si>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inf</t>
  </si>
  <si>
    <t>Category_vs_Base</t>
  </si>
  <si>
    <t>Variable</t>
  </si>
  <si>
    <t>beta</t>
  </si>
  <si>
    <t>se</t>
  </si>
  <si>
    <t>p_value</t>
  </si>
  <si>
    <t>CI_lo</t>
  </si>
  <si>
    <t>CI_hi</t>
  </si>
  <si>
    <t>OR</t>
  </si>
  <si>
    <t>OR_CI_lo</t>
  </si>
  <si>
    <t>OR_CI_hi</t>
  </si>
  <si>
    <t>dy/dx</t>
  </si>
  <si>
    <t>Std. Err.</t>
  </si>
  <si>
    <t>z</t>
  </si>
  <si>
    <t>Pr(&gt;|z|)</t>
  </si>
  <si>
    <t>Conf. Int. Low</t>
  </si>
  <si>
    <t>Cont. Int. Hi.</t>
  </si>
  <si>
    <t>endog</t>
  </si>
  <si>
    <t>exog</t>
  </si>
  <si>
    <t>SGrowth_2=0</t>
  </si>
  <si>
    <t>SGrowth_2=1</t>
  </si>
  <si>
    <t>SGrowth_2=2</t>
  </si>
  <si>
    <t>SGrowth_2=3</t>
  </si>
  <si>
    <t>MNLogit summary</t>
  </si>
  <si>
    <t xml:space="preserve">                          MNLogit Regression Results                          </t>
  </si>
  <si>
    <t>Dep. Variable:              SGrowth_2   No. Observations:                 9015</t>
  </si>
  <si>
    <t>Model:                        MNLogit   Df Residuals:                     8955</t>
  </si>
  <si>
    <t>Method:                           MLE   Df Model:                           57</t>
  </si>
  <si>
    <t>Date:                Mon, 27 Oct 2025   Pseudo R-squ.:                 0.04588</t>
  </si>
  <si>
    <t>Time:                        17:50:20   Log-Likelihood:                -10672.</t>
  </si>
  <si>
    <t>converged:                      False   LL-Null:                       -11185.</t>
  </si>
  <si>
    <t>Covariance Type:            nonrobust   LLR p-value:                8.557e-178</t>
  </si>
  <si>
    <t xml:space="preserve">                       SGrowth_2=1       coef    std err          z      P&gt;|z|      [0.025      0.975]</t>
  </si>
  <si>
    <t>------------------------------------------------------------------------------------------------------</t>
  </si>
  <si>
    <t>Starting_INT_z                        -0.6045      0.108     -5.607      0.000      -0.816      -0.393</t>
  </si>
  <si>
    <t>Starting_BS_Strength_z                 0.2940      0.038      7.752      0.000       0.220       0.368</t>
  </si>
  <si>
    <t>Starting_Size_ln_z                     0.1038      0.037      2.795      0.005       0.031       0.177</t>
  </si>
  <si>
    <t>Starting_Profit_z                      0.1071      0.040      2.698      0.007       0.029       0.185</t>
  </si>
  <si>
    <t>Foreign                               -0.0341      0.073     -0.467      0.640      -0.177       0.109</t>
  </si>
  <si>
    <t>HGX_Increased Export Intensity         0.0390      0.071      0.547      0.585      -0.101       0.179</t>
  </si>
  <si>
    <t>Starting_INT_Mult_Starting_Size_ln     0.0012      0.000      5.125      0.000       0.001       0.002</t>
  </si>
  <si>
    <t>Sector_chemia                          0.4970      0.218      2.280      0.023       0.070       0.924</t>
  </si>
  <si>
    <t>Sector_energetyka                     -0.7526      0.360     -2.088      0.037      -1.459      -0.046</t>
  </si>
  <si>
    <t>Sector_górnictwo i hutnictwo           0.7953      0.269      2.961      0.003       0.269       1.322</t>
  </si>
  <si>
    <t>Sector_handel detaliczny               0.4379      0.187      2.341      0.019       0.071       0.805</t>
  </si>
  <si>
    <t>Sector_handel hurtowy                  0.0583      0.131      0.444      0.657      -0.199       0.315</t>
  </si>
  <si>
    <t>Sector_media, telekomunkacja, IT       1.1445      0.180      6.371      0.000       0.792       1.497</t>
  </si>
  <si>
    <t>Sector_motoryzacja                     0.7378      0.136      5.433      0.000       0.472       1.004</t>
  </si>
  <si>
    <t>Sector_ochrona zdrowia i farmacja      0.9268      0.192      4.822      0.000       0.550       1.304</t>
  </si>
  <si>
    <t>Sector_paliwa                         -0.2412      0.184     -1.310      0.190      -0.602       0.120</t>
  </si>
  <si>
    <t>Sector_produkcja                       0.6021      0.121      4.960      0.000       0.364       0.840</t>
  </si>
  <si>
    <t>Sector_transport                       0.8301      0.179      4.626      0.000       0.478       1.182</t>
  </si>
  <si>
    <t>Sector_usługi                          0.9195      0.173      5.316      0.000       0.580       1.259</t>
  </si>
  <si>
    <t>Sector_żywność                         1.8343      0.212      8.652      0.000       1.419       2.250</t>
  </si>
  <si>
    <t xml:space="preserve">                       SGrowth_2=2       coef    std err          z      P&gt;|z|      [0.025      0.975]</t>
  </si>
  <si>
    <t>Starting_INT_z                        -0.8800      0.105     -8.367      0.000      -1.086      -0.674</t>
  </si>
  <si>
    <t>Starting_BS_Strength_z                 0.3284      0.038      8.580      0.000       0.253       0.403</t>
  </si>
  <si>
    <t>Starting_Size_ln_z                     0.1638      0.037      4.434      0.000       0.091       0.236</t>
  </si>
  <si>
    <t>Starting_Profit_z                      0.2011      0.040      5.038      0.000       0.123       0.279</t>
  </si>
  <si>
    <t>Foreign                               -0.1828      0.073     -2.509      0.012      -0.326      -0.040</t>
  </si>
  <si>
    <t>HGX_Increased Export Intensity         0.2803      0.071      3.941      0.000       0.141       0.420</t>
  </si>
  <si>
    <t>Starting_INT_Mult_Starting_Size_ln     0.0015      0.000      6.715      0.000       0.001       0.002</t>
  </si>
  <si>
    <t>Sector_chemia                          0.6389      0.210      3.042      0.002       0.227       1.051</t>
  </si>
  <si>
    <t>Sector_energetyka                     -1.0335      0.362     -2.852      0.004      -1.744      -0.323</t>
  </si>
  <si>
    <t>Sector_górnictwo i hutnictwo           0.4676      0.272      1.718      0.086      -0.066       1.001</t>
  </si>
  <si>
    <t>Sector_handel detaliczny               0.1452      0.188      0.773      0.440      -0.223       0.514</t>
  </si>
  <si>
    <t>Sector_handel hurtowy                  0.0939      0.127      0.740      0.459      -0.155       0.343</t>
  </si>
  <si>
    <t>Sector_media, telekomunkacja, IT       0.4766      0.186      2.563      0.010       0.112       0.841</t>
  </si>
  <si>
    <t>Sector_motoryzacja                     0.4713      0.136      3.473      0.001       0.205       0.737</t>
  </si>
  <si>
    <t>Sector_ochrona zdrowia i farmacja      0.8115      0.191      4.242      0.000       0.437       1.186</t>
  </si>
  <si>
    <t>Sector_paliwa                         -0.3450      0.179     -1.922      0.055      -0.697       0.007</t>
  </si>
  <si>
    <t>Sector_produkcja                       0.3188      0.121      2.642      0.008       0.082       0.555</t>
  </si>
  <si>
    <t>Sector_transport                       0.9478      0.175      5.409      0.000       0.604       1.291</t>
  </si>
  <si>
    <t>Sector_usługi                          0.4825      0.176      2.738      0.006       0.137       0.828</t>
  </si>
  <si>
    <t>Sector_żywność                         2.2290      0.208     10.721      0.000       1.821       2.636</t>
  </si>
  <si>
    <t xml:space="preserve">                       SGrowth_2=3       coef    std err          z      P&gt;|z|      [0.025      0.975]</t>
  </si>
  <si>
    <t>Starting_INT_z                         0.8819      0.153      5.767      0.000       0.582       1.182</t>
  </si>
  <si>
    <t>Starting_BS_Strength_z                 0.0693      0.046      1.500      0.134      -0.021       0.160</t>
  </si>
  <si>
    <t>Starting_Size_ln_z                     0.1643      0.046      3.535      0.000       0.073       0.255</t>
  </si>
  <si>
    <t>Starting_Profit_z                      0.1830      0.047      3.877      0.000       0.090       0.275</t>
  </si>
  <si>
    <t>Foreign                               -0.4830      0.097     -5.003      0.000      -0.672      -0.294</t>
  </si>
  <si>
    <t>HGX_Increased Export Intensity         0.3212      0.093      3.463      0.001       0.139       0.503</t>
  </si>
  <si>
    <t>Starting_INT_Mult_Starting_Size_ln    -0.0019      0.000     -5.822      0.000      -0.003      -0.001</t>
  </si>
  <si>
    <t>Sector_chemia                         -0.4758      0.382     -1.246      0.213      -1.224       0.272</t>
  </si>
  <si>
    <t>Sector_energetyka                      2.3362      0.290      8.058      0.000       1.768       2.904</t>
  </si>
  <si>
    <t>Sector_górnictwo i hutnictwo         -34.5065   1.05e+07  -3.29e-06      1.000   -2.06e+07    2.06e+07</t>
  </si>
  <si>
    <t>Sector_handel detaliczny               0.7115      0.241      2.950      0.003       0.239       1.184</t>
  </si>
  <si>
    <t>Sector_handel hurtowy                  0.3112      0.180      1.726      0.084      -0.042       0.665</t>
  </si>
  <si>
    <t>Sector_media, telekomunkacja, IT       1.1223      0.231      4.861      0.000       0.670       1.575</t>
  </si>
  <si>
    <t>Sector_motoryzacja                     0.7386      0.185      3.983      0.000       0.375       1.102</t>
  </si>
  <si>
    <t>Sector_ochrona zdrowia i farmacja      0.9259      0.254      3.650      0.000       0.429       1.423</t>
  </si>
  <si>
    <t>Sector_paliwa                          0.5112      0.226      2.261      0.024       0.068       0.954</t>
  </si>
  <si>
    <t>Sector_produkcja                       0.3296      0.173      1.901      0.057      -0.010       0.669</t>
  </si>
  <si>
    <t>Sector_transport                       0.5105      0.252      2.026      0.043       0.017       1.004</t>
  </si>
  <si>
    <t>Sector_usługi                          1.1400      0.218      5.225      0.000       0.712       1.568</t>
  </si>
  <si>
    <t>Sector_żywność                         2.1282      0.245      8.694      0.000       1.648       2.608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</si>
</sst>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-0.6045169122323523</v>
      </c>
      <c r="C2">
        <v>-0.8799534032260056</v>
      </c>
      <c r="D2">
        <v>0.8819234667750631</v>
      </c>
    </row>
    <row r="3" spans="1:4">
      <c r="A3" s="1" t="s">
        <v>1</v>
      </c>
      <c r="B3">
        <v>0.2939692218365582</v>
      </c>
      <c r="C3">
        <v>0.3284081604074708</v>
      </c>
      <c r="D3">
        <v>0.06928837949471144</v>
      </c>
    </row>
    <row r="4" spans="1:4">
      <c r="A4" s="1" t="s">
        <v>2</v>
      </c>
      <c r="B4">
        <v>0.1038065046767754</v>
      </c>
      <c r="C4">
        <v>0.1638441366540395</v>
      </c>
      <c r="D4">
        <v>0.164280465969806</v>
      </c>
    </row>
    <row r="5" spans="1:4">
      <c r="A5" s="1" t="s">
        <v>3</v>
      </c>
      <c r="B5">
        <v>0.1071328962544999</v>
      </c>
      <c r="C5">
        <v>0.2010842011497494</v>
      </c>
      <c r="D5">
        <v>0.1829768461090806</v>
      </c>
    </row>
    <row r="6" spans="1:4">
      <c r="A6" s="1" t="s">
        <v>4</v>
      </c>
      <c r="B6">
        <v>-0.0340959574980061</v>
      </c>
      <c r="C6">
        <v>-0.1828027671736541</v>
      </c>
      <c r="D6">
        <v>-0.4829770018363957</v>
      </c>
    </row>
    <row r="7" spans="1:4">
      <c r="A7" s="1" t="s">
        <v>5</v>
      </c>
      <c r="B7">
        <v>0.03901204934473566</v>
      </c>
      <c r="C7">
        <v>0.280301692271999</v>
      </c>
      <c r="D7">
        <v>0.3212343403067756</v>
      </c>
    </row>
    <row r="8" spans="1:4">
      <c r="A8" s="1" t="s">
        <v>6</v>
      </c>
      <c r="B8">
        <v>0.001188573195391197</v>
      </c>
      <c r="C8">
        <v>0.001520291711931508</v>
      </c>
      <c r="D8">
        <v>-0.001909948872895166</v>
      </c>
    </row>
    <row r="9" spans="1:4">
      <c r="A9" s="1" t="s">
        <v>7</v>
      </c>
      <c r="B9">
        <v>0.4969624248238041</v>
      </c>
      <c r="C9">
        <v>0.6388594129354243</v>
      </c>
      <c r="D9">
        <v>-0.4757738072080497</v>
      </c>
    </row>
    <row r="10" spans="1:4">
      <c r="A10" s="1" t="s">
        <v>8</v>
      </c>
      <c r="B10">
        <v>-0.7526253291124489</v>
      </c>
      <c r="C10">
        <v>-1.033501675944168</v>
      </c>
      <c r="D10">
        <v>2.336186620032137</v>
      </c>
    </row>
    <row r="11" spans="1:4">
      <c r="A11" s="1" t="s">
        <v>9</v>
      </c>
      <c r="B11">
        <v>0.7953132054265063</v>
      </c>
      <c r="C11">
        <v>0.4675840505864751</v>
      </c>
      <c r="D11">
        <v>-34.5065154958463</v>
      </c>
    </row>
    <row r="12" spans="1:4">
      <c r="A12" s="1" t="s">
        <v>10</v>
      </c>
      <c r="B12">
        <v>0.4379024489763731</v>
      </c>
      <c r="C12">
        <v>0.1452413979987559</v>
      </c>
      <c r="D12">
        <v>0.7114649657600799</v>
      </c>
    </row>
    <row r="13" spans="1:4">
      <c r="A13" s="1" t="s">
        <v>11</v>
      </c>
      <c r="B13">
        <v>0.05830259623649291</v>
      </c>
      <c r="C13">
        <v>0.09390891110718884</v>
      </c>
      <c r="D13">
        <v>0.3111806158997554</v>
      </c>
    </row>
    <row r="14" spans="1:4">
      <c r="A14" s="1" t="s">
        <v>12</v>
      </c>
      <c r="B14">
        <v>1.144453338370941</v>
      </c>
      <c r="C14">
        <v>0.4766216090370595</v>
      </c>
      <c r="D14">
        <v>1.122324708627201</v>
      </c>
    </row>
    <row r="15" spans="1:4">
      <c r="A15" s="1" t="s">
        <v>13</v>
      </c>
      <c r="B15">
        <v>0.7377788309773272</v>
      </c>
      <c r="C15">
        <v>0.4713352644862845</v>
      </c>
      <c r="D15">
        <v>0.7385635746190091</v>
      </c>
    </row>
    <row r="16" spans="1:4">
      <c r="A16" s="1" t="s">
        <v>14</v>
      </c>
      <c r="B16">
        <v>0.9268287571116774</v>
      </c>
      <c r="C16">
        <v>0.8115117909637496</v>
      </c>
      <c r="D16">
        <v>0.9259105613533118</v>
      </c>
    </row>
    <row r="17" spans="1:4">
      <c r="A17" s="1" t="s">
        <v>15</v>
      </c>
      <c r="B17">
        <v>-0.24119104720014</v>
      </c>
      <c r="C17">
        <v>-0.3450321104405665</v>
      </c>
      <c r="D17">
        <v>0.5111968685495991</v>
      </c>
    </row>
    <row r="18" spans="1:4">
      <c r="A18" s="1" t="s">
        <v>16</v>
      </c>
      <c r="B18">
        <v>0.6021438152357899</v>
      </c>
      <c r="C18">
        <v>0.3188275959403661</v>
      </c>
      <c r="D18">
        <v>0.3296173661530415</v>
      </c>
    </row>
    <row r="19" spans="1:4">
      <c r="A19" s="1" t="s">
        <v>17</v>
      </c>
      <c r="B19">
        <v>0.8300963984715608</v>
      </c>
      <c r="C19">
        <v>0.9477569788385661</v>
      </c>
      <c r="D19">
        <v>0.510471095985722</v>
      </c>
    </row>
    <row r="20" spans="1:4">
      <c r="A20" s="1" t="s">
        <v>18</v>
      </c>
      <c r="B20">
        <v>0.9194974182842455</v>
      </c>
      <c r="C20">
        <v>0.4825141454523663</v>
      </c>
      <c r="D20">
        <v>1.140015435734983</v>
      </c>
    </row>
    <row r="21" spans="1:4">
      <c r="A21" s="1" t="s">
        <v>19</v>
      </c>
      <c r="B21">
        <v>1.834283686363367</v>
      </c>
      <c r="C21">
        <v>2.228970955292877</v>
      </c>
      <c r="D21">
        <v>2.128241717772875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0.1078220711289386</v>
      </c>
      <c r="C2">
        <v>0.1051719832487819</v>
      </c>
      <c r="D2">
        <v>0.1529342769478709</v>
      </c>
    </row>
    <row r="3" spans="1:4">
      <c r="A3" s="1" t="s">
        <v>1</v>
      </c>
      <c r="B3">
        <v>0.03792064644651325</v>
      </c>
      <c r="C3">
        <v>0.03827455322234159</v>
      </c>
      <c r="D3">
        <v>0.0461839260476967</v>
      </c>
    </row>
    <row r="4" spans="1:4">
      <c r="A4" s="1" t="s">
        <v>2</v>
      </c>
      <c r="B4">
        <v>0.03714135779335047</v>
      </c>
      <c r="C4">
        <v>0.03695555566675534</v>
      </c>
      <c r="D4">
        <v>0.04647348585085673</v>
      </c>
    </row>
    <row r="5" spans="1:4">
      <c r="A5" s="1" t="s">
        <v>3</v>
      </c>
      <c r="B5">
        <v>0.03971438918871</v>
      </c>
      <c r="C5">
        <v>0.03991308796481596</v>
      </c>
      <c r="D5">
        <v>0.04719753582949066</v>
      </c>
    </row>
    <row r="6" spans="1:4">
      <c r="A6" s="1" t="s">
        <v>4</v>
      </c>
      <c r="B6">
        <v>0.07293385888093831</v>
      </c>
      <c r="C6">
        <v>0.072872546379721</v>
      </c>
      <c r="D6">
        <v>0.09653240449474285</v>
      </c>
    </row>
    <row r="7" spans="1:4">
      <c r="A7" s="1" t="s">
        <v>5</v>
      </c>
      <c r="B7">
        <v>0.07135808226685972</v>
      </c>
      <c r="C7">
        <v>0.07112839327968028</v>
      </c>
      <c r="D7">
        <v>0.09276477823192204</v>
      </c>
    </row>
    <row r="8" spans="1:4">
      <c r="A8" s="1" t="s">
        <v>6</v>
      </c>
      <c r="B8">
        <v>0.0002318973985526107</v>
      </c>
      <c r="C8">
        <v>0.0002263961579312717</v>
      </c>
      <c r="D8">
        <v>0.0003280587059507946</v>
      </c>
    </row>
    <row r="9" spans="1:4">
      <c r="A9" s="1" t="s">
        <v>7</v>
      </c>
      <c r="B9">
        <v>0.2179525079208967</v>
      </c>
      <c r="C9">
        <v>0.2100268599558361</v>
      </c>
      <c r="D9">
        <v>0.3817468500183063</v>
      </c>
    </row>
    <row r="10" spans="1:4">
      <c r="A10" s="1" t="s">
        <v>8</v>
      </c>
      <c r="B10">
        <v>0.3604683560830325</v>
      </c>
      <c r="C10">
        <v>0.3623882372499505</v>
      </c>
      <c r="D10">
        <v>0.2899101308297342</v>
      </c>
    </row>
    <row r="11" spans="1:4">
      <c r="A11" s="1" t="s">
        <v>9</v>
      </c>
      <c r="B11">
        <v>0.2685588351214626</v>
      </c>
      <c r="C11">
        <v>0.2722114130556093</v>
      </c>
      <c r="D11">
        <v>10494353.17184994</v>
      </c>
    </row>
    <row r="12" spans="1:4">
      <c r="A12" s="1" t="s">
        <v>10</v>
      </c>
      <c r="B12">
        <v>0.1870899920318121</v>
      </c>
      <c r="C12">
        <v>0.1878929393776754</v>
      </c>
      <c r="D12">
        <v>0.2411974064520118</v>
      </c>
    </row>
    <row r="13" spans="1:4">
      <c r="A13" s="1" t="s">
        <v>11</v>
      </c>
      <c r="B13">
        <v>0.1311997697799709</v>
      </c>
      <c r="C13">
        <v>0.1269549651429914</v>
      </c>
      <c r="D13">
        <v>0.1803162444102725</v>
      </c>
    </row>
    <row r="14" spans="1:4">
      <c r="A14" s="1" t="s">
        <v>12</v>
      </c>
      <c r="B14">
        <v>0.1796399738738135</v>
      </c>
      <c r="C14">
        <v>0.1859590008114657</v>
      </c>
      <c r="D14">
        <v>0.2308819677311198</v>
      </c>
    </row>
    <row r="15" spans="1:4">
      <c r="A15" s="1" t="s">
        <v>13</v>
      </c>
      <c r="B15">
        <v>0.1357994421865295</v>
      </c>
      <c r="C15">
        <v>0.1357020704850443</v>
      </c>
      <c r="D15">
        <v>0.1854205003880934</v>
      </c>
    </row>
    <row r="16" spans="1:4">
      <c r="A16" s="1" t="s">
        <v>14</v>
      </c>
      <c r="B16">
        <v>0.1922242745058115</v>
      </c>
      <c r="C16">
        <v>0.1913066145808262</v>
      </c>
      <c r="D16">
        <v>0.2536726689066385</v>
      </c>
    </row>
    <row r="17" spans="1:4">
      <c r="A17" s="1" t="s">
        <v>15</v>
      </c>
      <c r="B17">
        <v>0.1841685657870053</v>
      </c>
      <c r="C17">
        <v>0.1794878426112364</v>
      </c>
      <c r="D17">
        <v>0.2260808642447573</v>
      </c>
    </row>
    <row r="18" spans="1:4">
      <c r="A18" s="1" t="s">
        <v>16</v>
      </c>
      <c r="B18">
        <v>0.1214064623098781</v>
      </c>
      <c r="C18">
        <v>0.1206617505971601</v>
      </c>
      <c r="D18">
        <v>0.1733764923660223</v>
      </c>
    </row>
    <row r="19" spans="1:4">
      <c r="A19" s="1" t="s">
        <v>17</v>
      </c>
      <c r="B19">
        <v>0.1794266961193899</v>
      </c>
      <c r="C19">
        <v>0.1752214066460799</v>
      </c>
      <c r="D19">
        <v>0.2519133414390092</v>
      </c>
    </row>
    <row r="20" spans="1:4">
      <c r="A20" s="1" t="s">
        <v>18</v>
      </c>
      <c r="B20">
        <v>0.1729783198608386</v>
      </c>
      <c r="C20">
        <v>0.1762220056282271</v>
      </c>
      <c r="D20">
        <v>0.2181730095595095</v>
      </c>
    </row>
    <row r="21" spans="1:4">
      <c r="A21" s="1" t="s">
        <v>19</v>
      </c>
      <c r="B21">
        <v>0.2119955783733375</v>
      </c>
      <c r="C21">
        <v>0.2079074486213938</v>
      </c>
      <c r="D21">
        <v>0.2447957826248497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2.063211217720595E-08</v>
      </c>
      <c r="C2">
        <v>5.920189386178829E-17</v>
      </c>
      <c r="D2">
        <v>8.084700338269825E-09</v>
      </c>
    </row>
    <row r="3" spans="1:4">
      <c r="A3" s="1" t="s">
        <v>1</v>
      </c>
      <c r="B3">
        <v>9.029924248598525E-15</v>
      </c>
      <c r="C3">
        <v>9.4604286750017E-18</v>
      </c>
      <c r="D3">
        <v>0.1335443607892241</v>
      </c>
    </row>
    <row r="4" spans="1:4">
      <c r="A4" s="1" t="s">
        <v>2</v>
      </c>
      <c r="B4">
        <v>0.005191523616403169</v>
      </c>
      <c r="C4">
        <v>9.269594367196366E-06</v>
      </c>
      <c r="D4">
        <v>0.0004078849676875725</v>
      </c>
    </row>
    <row r="5" spans="1:4">
      <c r="A5" s="1" t="s">
        <v>3</v>
      </c>
      <c r="B5">
        <v>0.00698446853098993</v>
      </c>
      <c r="C5">
        <v>4.702943966073341E-07</v>
      </c>
      <c r="D5">
        <v>0.0001058260300816312</v>
      </c>
    </row>
    <row r="6" spans="1:4">
      <c r="A6" s="1" t="s">
        <v>4</v>
      </c>
      <c r="B6">
        <v>0.6401482876568224</v>
      </c>
      <c r="C6">
        <v>0.01212356223906285</v>
      </c>
      <c r="D6">
        <v>5.636797252862346E-07</v>
      </c>
    </row>
    <row r="7" spans="1:4">
      <c r="A7" s="1" t="s">
        <v>5</v>
      </c>
      <c r="B7">
        <v>0.584579213661389</v>
      </c>
      <c r="C7">
        <v>8.12154569223918E-05</v>
      </c>
      <c r="D7">
        <v>0.0005344043081923756</v>
      </c>
    </row>
    <row r="8" spans="1:4">
      <c r="A8" s="1" t="s">
        <v>6</v>
      </c>
      <c r="B8">
        <v>2.968641213824857E-07</v>
      </c>
      <c r="C8">
        <v>1.8782988067755E-11</v>
      </c>
      <c r="D8">
        <v>5.815700526757493E-09</v>
      </c>
    </row>
    <row r="9" spans="1:4">
      <c r="A9" s="1" t="s">
        <v>7</v>
      </c>
      <c r="B9">
        <v>0.02259933390378948</v>
      </c>
      <c r="C9">
        <v>0.002351691690106648</v>
      </c>
      <c r="D9">
        <v>0.2126516745473842</v>
      </c>
    </row>
    <row r="10" spans="1:4">
      <c r="A10" s="1" t="s">
        <v>8</v>
      </c>
      <c r="B10">
        <v>0.03680599305891569</v>
      </c>
      <c r="C10">
        <v>0.004345625669409753</v>
      </c>
      <c r="D10">
        <v>7.735444700066565E-16</v>
      </c>
    </row>
    <row r="11" spans="1:4">
      <c r="A11" s="1" t="s">
        <v>9</v>
      </c>
      <c r="B11">
        <v>0.003062325518987431</v>
      </c>
      <c r="C11">
        <v>0.08584698749941386</v>
      </c>
      <c r="D11">
        <v>0.9999973764732795</v>
      </c>
    </row>
    <row r="12" spans="1:4">
      <c r="A12" s="1" t="s">
        <v>10</v>
      </c>
      <c r="B12">
        <v>0.01925288822176206</v>
      </c>
      <c r="C12">
        <v>0.4395218897187138</v>
      </c>
      <c r="D12">
        <v>0.003180613876283958</v>
      </c>
    </row>
    <row r="13" spans="1:4">
      <c r="A13" s="1" t="s">
        <v>11</v>
      </c>
      <c r="B13">
        <v>0.6567676363558745</v>
      </c>
      <c r="C13">
        <v>0.4594805021226364</v>
      </c>
      <c r="D13">
        <v>0.08439254118590818</v>
      </c>
    </row>
    <row r="14" spans="1:4">
      <c r="A14" s="1" t="s">
        <v>12</v>
      </c>
      <c r="B14">
        <v>1.880243005814158E-10</v>
      </c>
      <c r="C14">
        <v>0.01037580822210561</v>
      </c>
      <c r="D14">
        <v>1.167751809063688E-06</v>
      </c>
    </row>
    <row r="15" spans="1:4">
      <c r="A15" s="1" t="s">
        <v>13</v>
      </c>
      <c r="B15">
        <v>5.545912341000107E-08</v>
      </c>
      <c r="C15">
        <v>0.0005140825305274167</v>
      </c>
      <c r="D15">
        <v>6.799867854233161E-05</v>
      </c>
    </row>
    <row r="16" spans="1:4">
      <c r="A16" s="1" t="s">
        <v>14</v>
      </c>
      <c r="B16">
        <v>1.424105721900364E-06</v>
      </c>
      <c r="C16">
        <v>2.215927898624365E-05</v>
      </c>
      <c r="D16">
        <v>0.0002622188994384202</v>
      </c>
    </row>
    <row r="17" spans="1:4">
      <c r="A17" s="1" t="s">
        <v>15</v>
      </c>
      <c r="B17">
        <v>0.1903240330569265</v>
      </c>
      <c r="C17">
        <v>0.0545661769378876</v>
      </c>
      <c r="D17">
        <v>0.02375157946911696</v>
      </c>
    </row>
    <row r="18" spans="1:4">
      <c r="A18" s="1" t="s">
        <v>16</v>
      </c>
      <c r="B18">
        <v>7.05896025818257E-07</v>
      </c>
      <c r="C18">
        <v>0.008233893160814772</v>
      </c>
      <c r="D18">
        <v>0.05728036836899748</v>
      </c>
    </row>
    <row r="19" spans="1:4">
      <c r="A19" s="1" t="s">
        <v>17</v>
      </c>
      <c r="B19">
        <v>3.721090975815924E-06</v>
      </c>
      <c r="C19">
        <v>6.34091592241759E-08</v>
      </c>
      <c r="D19">
        <v>0.0427262900640716</v>
      </c>
    </row>
    <row r="20" spans="1:4">
      <c r="A20" s="1" t="s">
        <v>18</v>
      </c>
      <c r="B20">
        <v>1.062596707219169E-07</v>
      </c>
      <c r="C20">
        <v>0.006179456614521751</v>
      </c>
      <c r="D20">
        <v>1.738901606644541E-07</v>
      </c>
    </row>
    <row r="21" spans="1:4">
      <c r="A21" s="1" t="s">
        <v>19</v>
      </c>
      <c r="B21">
        <v>5.040014076564118E-18</v>
      </c>
      <c r="C21">
        <v>8.114173171365834E-27</v>
      </c>
      <c r="D21">
        <v>3.500590430740833E-18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-0.8158442883835879</v>
      </c>
      <c r="C2">
        <v>-1.086086702576268</v>
      </c>
      <c r="D2">
        <v>0.582177791955562</v>
      </c>
    </row>
    <row r="3" spans="1:4">
      <c r="A3" s="1" t="s">
        <v>1</v>
      </c>
      <c r="B3">
        <v>0.2196461205309155</v>
      </c>
      <c r="C3">
        <v>0.2533914145673198</v>
      </c>
      <c r="D3">
        <v>-0.02123045222343538</v>
      </c>
    </row>
    <row r="4" spans="1:4">
      <c r="A4" s="1" t="s">
        <v>2</v>
      </c>
      <c r="B4">
        <v>0.03101078106489247</v>
      </c>
      <c r="C4">
        <v>0.09141257851853389</v>
      </c>
      <c r="D4">
        <v>0.07319410746609499</v>
      </c>
    </row>
    <row r="5" spans="1:4">
      <c r="A5" s="1" t="s">
        <v>3</v>
      </c>
      <c r="B5">
        <v>0.02929412377662137</v>
      </c>
      <c r="C5">
        <v>0.1228559862269311</v>
      </c>
      <c r="D5">
        <v>0.09047137572424013</v>
      </c>
    </row>
    <row r="6" spans="1:4">
      <c r="A6" s="1" t="s">
        <v>4</v>
      </c>
      <c r="B6">
        <v>-0.1770436941581719</v>
      </c>
      <c r="C6">
        <v>-0.325630333539632</v>
      </c>
      <c r="D6">
        <v>-0.6721770379871441</v>
      </c>
    </row>
    <row r="7" spans="1:4">
      <c r="A7" s="1" t="s">
        <v>5</v>
      </c>
      <c r="B7">
        <v>-0.1008472219041557</v>
      </c>
      <c r="C7">
        <v>0.1408926031656249</v>
      </c>
      <c r="D7">
        <v>0.1394187159383632</v>
      </c>
    </row>
    <row r="8" spans="1:4">
      <c r="A8" s="1" t="s">
        <v>6</v>
      </c>
      <c r="B8">
        <v>0.0007340626461195495</v>
      </c>
      <c r="C8">
        <v>0.001076563396147973</v>
      </c>
      <c r="D8">
        <v>-0.002552932121373539</v>
      </c>
    </row>
    <row r="9" spans="1:4">
      <c r="A9" s="1" t="s">
        <v>7</v>
      </c>
      <c r="B9">
        <v>0.06978335895866566</v>
      </c>
      <c r="C9">
        <v>0.2272143316359478</v>
      </c>
      <c r="D9">
        <v>-1.223983884455544</v>
      </c>
    </row>
    <row r="10" spans="1:4">
      <c r="A10" s="1" t="s">
        <v>8</v>
      </c>
      <c r="B10">
        <v>-1.459130324601552</v>
      </c>
      <c r="C10">
        <v>-1.743769569375027</v>
      </c>
      <c r="D10">
        <v>1.767973204852563</v>
      </c>
    </row>
    <row r="11" spans="1:4">
      <c r="A11" s="1" t="s">
        <v>9</v>
      </c>
      <c r="B11">
        <v>0.2689475608584091</v>
      </c>
      <c r="C11">
        <v>-0.06594051518327532</v>
      </c>
      <c r="D11">
        <v>-20568588.76438506</v>
      </c>
    </row>
    <row r="12" spans="1:4">
      <c r="A12" s="1" t="s">
        <v>10</v>
      </c>
      <c r="B12">
        <v>0.07121280272613584</v>
      </c>
      <c r="C12">
        <v>-0.2230219961308557</v>
      </c>
      <c r="D12">
        <v>0.2387267359496679</v>
      </c>
    </row>
    <row r="13" spans="1:4">
      <c r="A13" s="1" t="s">
        <v>11</v>
      </c>
      <c r="B13">
        <v>-0.1988442273121966</v>
      </c>
      <c r="C13">
        <v>-0.1549182482316122</v>
      </c>
      <c r="D13">
        <v>-0.0422327289719005</v>
      </c>
    </row>
    <row r="14" spans="1:4">
      <c r="A14" s="1" t="s">
        <v>12</v>
      </c>
      <c r="B14">
        <v>0.7923654593945504</v>
      </c>
      <c r="C14">
        <v>0.112148664845532</v>
      </c>
      <c r="D14">
        <v>0.6698043671944676</v>
      </c>
    </row>
    <row r="15" spans="1:4">
      <c r="A15" s="1" t="s">
        <v>13</v>
      </c>
      <c r="B15">
        <v>0.4716168151711003</v>
      </c>
      <c r="C15">
        <v>0.2053640937080818</v>
      </c>
      <c r="D15">
        <v>0.375146071862951</v>
      </c>
    </row>
    <row r="16" spans="1:4">
      <c r="A16" s="1" t="s">
        <v>14</v>
      </c>
      <c r="B16">
        <v>0.5500761021259459</v>
      </c>
      <c r="C16">
        <v>0.436557716381045</v>
      </c>
      <c r="D16">
        <v>0.4287212664341468</v>
      </c>
    </row>
    <row r="17" spans="1:4">
      <c r="A17" s="1" t="s">
        <v>15</v>
      </c>
      <c r="B17">
        <v>-0.6021548032270659</v>
      </c>
      <c r="C17">
        <v>-0.6968218176213834</v>
      </c>
      <c r="D17">
        <v>0.06808651703618546</v>
      </c>
    </row>
    <row r="18" spans="1:4">
      <c r="A18" s="1" t="s">
        <v>16</v>
      </c>
      <c r="B18">
        <v>0.3641915216180093</v>
      </c>
      <c r="C18">
        <v>0.0823349104583779</v>
      </c>
      <c r="D18">
        <v>-0.01019431465024578</v>
      </c>
    </row>
    <row r="19" spans="1:4">
      <c r="A19" s="1" t="s">
        <v>17</v>
      </c>
      <c r="B19">
        <v>0.4784265362125439</v>
      </c>
      <c r="C19">
        <v>0.6043293324918023</v>
      </c>
      <c r="D19">
        <v>0.01673001954012249</v>
      </c>
    </row>
    <row r="20" spans="1:4">
      <c r="A20" s="1" t="s">
        <v>18</v>
      </c>
      <c r="B20">
        <v>0.5804661412507524</v>
      </c>
      <c r="C20">
        <v>0.1371253611376265</v>
      </c>
      <c r="D20">
        <v>0.712404194599632</v>
      </c>
    </row>
    <row r="21" spans="1:4">
      <c r="A21" s="1" t="s">
        <v>19</v>
      </c>
      <c r="B21">
        <v>1.418779987869887</v>
      </c>
      <c r="C21">
        <v>1.821479843877334</v>
      </c>
      <c r="D21">
        <v>1.648450800260874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-0.3931895360811166</v>
      </c>
      <c r="C2">
        <v>-0.6738201038757432</v>
      </c>
      <c r="D2">
        <v>1.181669141594564</v>
      </c>
    </row>
    <row r="3" spans="1:4">
      <c r="A3" s="1" t="s">
        <v>1</v>
      </c>
      <c r="B3">
        <v>0.368292323142201</v>
      </c>
      <c r="C3">
        <v>0.4034249062476218</v>
      </c>
      <c r="D3">
        <v>0.1598072112128582</v>
      </c>
    </row>
    <row r="4" spans="1:4">
      <c r="A4" s="1" t="s">
        <v>2</v>
      </c>
      <c r="B4">
        <v>0.1766022282886584</v>
      </c>
      <c r="C4">
        <v>0.236275694789545</v>
      </c>
      <c r="D4">
        <v>0.2553668244735169</v>
      </c>
    </row>
    <row r="5" spans="1:4">
      <c r="A5" s="1" t="s">
        <v>3</v>
      </c>
      <c r="B5">
        <v>0.1849716687323784</v>
      </c>
      <c r="C5">
        <v>0.2793124160725678</v>
      </c>
      <c r="D5">
        <v>0.2754823164939211</v>
      </c>
    </row>
    <row r="6" spans="1:4">
      <c r="A6" s="1" t="s">
        <v>4</v>
      </c>
      <c r="B6">
        <v>0.1088517791621598</v>
      </c>
      <c r="C6">
        <v>-0.03997520080767622</v>
      </c>
      <c r="D6">
        <v>-0.2937769656856473</v>
      </c>
    </row>
    <row r="7" spans="1:4">
      <c r="A7" s="1" t="s">
        <v>5</v>
      </c>
      <c r="B7">
        <v>0.178871320593627</v>
      </c>
      <c r="C7">
        <v>0.4197107813783731</v>
      </c>
      <c r="D7">
        <v>0.5030499646751879</v>
      </c>
    </row>
    <row r="8" spans="1:4">
      <c r="A8" s="1" t="s">
        <v>6</v>
      </c>
      <c r="B8">
        <v>0.001643083744662845</v>
      </c>
      <c r="C8">
        <v>0.001964020027715042</v>
      </c>
      <c r="D8">
        <v>-0.001266965624416793</v>
      </c>
    </row>
    <row r="9" spans="1:4">
      <c r="A9" s="1" t="s">
        <v>7</v>
      </c>
      <c r="B9">
        <v>0.9241414906889427</v>
      </c>
      <c r="C9">
        <v>1.050504494234901</v>
      </c>
      <c r="D9">
        <v>0.2724362700394443</v>
      </c>
    </row>
    <row r="10" spans="1:4">
      <c r="A10" s="1" t="s">
        <v>8</v>
      </c>
      <c r="B10">
        <v>-0.04612033362334567</v>
      </c>
      <c r="C10">
        <v>-0.3232337825133088</v>
      </c>
      <c r="D10">
        <v>2.904400035211712</v>
      </c>
    </row>
    <row r="11" spans="1:4">
      <c r="A11" s="1" t="s">
        <v>9</v>
      </c>
      <c r="B11">
        <v>1.321678849994603</v>
      </c>
      <c r="C11">
        <v>1.001108616356226</v>
      </c>
      <c r="D11">
        <v>20568519.75135406</v>
      </c>
    </row>
    <row r="12" spans="1:4">
      <c r="A12" s="1" t="s">
        <v>10</v>
      </c>
      <c r="B12">
        <v>0.8045920952266105</v>
      </c>
      <c r="C12">
        <v>0.5135047921283675</v>
      </c>
      <c r="D12">
        <v>1.184203195570492</v>
      </c>
    </row>
    <row r="13" spans="1:4">
      <c r="A13" s="1" t="s">
        <v>11</v>
      </c>
      <c r="B13">
        <v>0.3154494197851824</v>
      </c>
      <c r="C13">
        <v>0.3427360704459899</v>
      </c>
      <c r="D13">
        <v>0.6645939607714113</v>
      </c>
    </row>
    <row r="14" spans="1:4">
      <c r="A14" s="1" t="s">
        <v>12</v>
      </c>
      <c r="B14">
        <v>1.496541217347332</v>
      </c>
      <c r="C14">
        <v>0.8410945532285869</v>
      </c>
      <c r="D14">
        <v>1.574845050059935</v>
      </c>
    </row>
    <row r="15" spans="1:4">
      <c r="A15" s="1" t="s">
        <v>13</v>
      </c>
      <c r="B15">
        <v>1.003940846783554</v>
      </c>
      <c r="C15">
        <v>0.7373064352644872</v>
      </c>
      <c r="D15">
        <v>1.101981077375067</v>
      </c>
    </row>
    <row r="16" spans="1:4">
      <c r="A16" s="1" t="s">
        <v>14</v>
      </c>
      <c r="B16">
        <v>1.303581412097409</v>
      </c>
      <c r="C16">
        <v>1.186465865546454</v>
      </c>
      <c r="D16">
        <v>1.423099856272477</v>
      </c>
    </row>
    <row r="17" spans="1:4">
      <c r="A17" s="1" t="s">
        <v>15</v>
      </c>
      <c r="B17">
        <v>0.1197727088267859</v>
      </c>
      <c r="C17">
        <v>0.006757596740250449</v>
      </c>
      <c r="D17">
        <v>0.9543072200630127</v>
      </c>
    </row>
    <row r="18" spans="1:4">
      <c r="A18" s="1" t="s">
        <v>16</v>
      </c>
      <c r="B18">
        <v>0.8400961088535704</v>
      </c>
      <c r="C18">
        <v>0.5553202814223542</v>
      </c>
      <c r="D18">
        <v>0.6694290469563289</v>
      </c>
    </row>
    <row r="19" spans="1:4">
      <c r="A19" s="1" t="s">
        <v>17</v>
      </c>
      <c r="B19">
        <v>1.181766260730578</v>
      </c>
      <c r="C19">
        <v>1.29118462518533</v>
      </c>
      <c r="D19">
        <v>1.004212172431322</v>
      </c>
    </row>
    <row r="20" spans="1:4">
      <c r="A20" s="1" t="s">
        <v>18</v>
      </c>
      <c r="B20">
        <v>1.258528695317739</v>
      </c>
      <c r="C20">
        <v>0.827902929767106</v>
      </c>
      <c r="D20">
        <v>1.567626676870335</v>
      </c>
    </row>
    <row r="21" spans="1:4">
      <c r="A21" s="1" t="s">
        <v>19</v>
      </c>
      <c r="B21">
        <v>2.249787384856847</v>
      </c>
      <c r="C21">
        <v>2.636462066708421</v>
      </c>
      <c r="D21">
        <v>2.608032635284876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0.546338292245436</v>
      </c>
      <c r="C2">
        <v>0.4148022396774814</v>
      </c>
      <c r="D2">
        <v>2.415541454593611</v>
      </c>
    </row>
    <row r="3" spans="1:4">
      <c r="A3" s="1" t="s">
        <v>1</v>
      </c>
      <c r="B3">
        <v>1.341742606658207</v>
      </c>
      <c r="C3">
        <v>1.388755691714336</v>
      </c>
      <c r="D3">
        <v>1.071745233937021</v>
      </c>
    </row>
    <row r="4" spans="1:4">
      <c r="A4" s="1" t="s">
        <v>2</v>
      </c>
      <c r="B4">
        <v>1.109385773187534</v>
      </c>
      <c r="C4">
        <v>1.178030688977975</v>
      </c>
      <c r="D4">
        <v>1.178544810457429</v>
      </c>
    </row>
    <row r="5" spans="1:4">
      <c r="A5" s="1" t="s">
        <v>3</v>
      </c>
      <c r="B5">
        <v>1.113082169101683</v>
      </c>
      <c r="C5">
        <v>1.222727722569052</v>
      </c>
      <c r="D5">
        <v>1.200786604876889</v>
      </c>
    </row>
    <row r="6" spans="1:4">
      <c r="A6" s="1" t="s">
        <v>4</v>
      </c>
      <c r="B6">
        <v>0.9664787593041538</v>
      </c>
      <c r="C6">
        <v>0.8329324211528715</v>
      </c>
      <c r="D6">
        <v>0.6169440117897109</v>
      </c>
    </row>
    <row r="7" spans="1:4">
      <c r="A7" s="1" t="s">
        <v>5</v>
      </c>
      <c r="B7">
        <v>1.039783012278642</v>
      </c>
      <c r="C7">
        <v>1.323529050597191</v>
      </c>
      <c r="D7">
        <v>1.378828658168008</v>
      </c>
    </row>
    <row r="8" spans="1:4">
      <c r="A8" s="1" t="s">
        <v>6</v>
      </c>
      <c r="B8">
        <v>1.001189279828446</v>
      </c>
      <c r="C8">
        <v>1.001521447941237</v>
      </c>
      <c r="D8">
        <v>0.9980918739187891</v>
      </c>
    </row>
    <row r="9" spans="1:4">
      <c r="A9" s="1" t="s">
        <v>7</v>
      </c>
      <c r="B9">
        <v>1.643720754462701</v>
      </c>
      <c r="C9">
        <v>1.894319010879753</v>
      </c>
      <c r="D9">
        <v>0.6214040234631537</v>
      </c>
    </row>
    <row r="10" spans="1:4">
      <c r="A10" s="1" t="s">
        <v>8</v>
      </c>
      <c r="B10">
        <v>0.4711280615132376</v>
      </c>
      <c r="C10">
        <v>0.3557590240931459</v>
      </c>
      <c r="D10">
        <v>10.34172434860656</v>
      </c>
    </row>
    <row r="11" spans="1:4">
      <c r="A11" s="1" t="s">
        <v>9</v>
      </c>
      <c r="B11">
        <v>2.215134680368009</v>
      </c>
      <c r="C11">
        <v>1.596133353858821</v>
      </c>
      <c r="D11">
        <v>1.032786923300136E-15</v>
      </c>
    </row>
    <row r="12" spans="1:4">
      <c r="A12" s="1" t="s">
        <v>10</v>
      </c>
      <c r="B12">
        <v>1.54945374924751</v>
      </c>
      <c r="C12">
        <v>1.156318669592421</v>
      </c>
      <c r="D12">
        <v>2.036973169862589</v>
      </c>
    </row>
    <row r="13" spans="1:4">
      <c r="A13" s="1" t="s">
        <v>11</v>
      </c>
      <c r="B13">
        <v>1.060035710000766</v>
      </c>
      <c r="C13">
        <v>1.09845968388357</v>
      </c>
      <c r="D13">
        <v>1.36503574608181</v>
      </c>
    </row>
    <row r="14" spans="1:4">
      <c r="A14" s="1" t="s">
        <v>12</v>
      </c>
      <c r="B14">
        <v>3.140723974184183</v>
      </c>
      <c r="C14">
        <v>1.610623883213253</v>
      </c>
      <c r="D14">
        <v>3.071987384371838</v>
      </c>
    </row>
    <row r="15" spans="1:4">
      <c r="A15" s="1" t="s">
        <v>13</v>
      </c>
      <c r="B15">
        <v>2.091285253875341</v>
      </c>
      <c r="C15">
        <v>1.602132035616706</v>
      </c>
      <c r="D15">
        <v>2.092927020780079</v>
      </c>
    </row>
    <row r="16" spans="1:4">
      <c r="A16" s="1" t="s">
        <v>14</v>
      </c>
      <c r="B16">
        <v>2.526484364454098</v>
      </c>
      <c r="C16">
        <v>2.251308923763307</v>
      </c>
      <c r="D16">
        <v>2.524165621919767</v>
      </c>
    </row>
    <row r="17" spans="1:4">
      <c r="A17" s="1" t="s">
        <v>15</v>
      </c>
      <c r="B17">
        <v>0.7856915078861869</v>
      </c>
      <c r="C17">
        <v>0.7081976125653441</v>
      </c>
      <c r="D17">
        <v>1.667285522839136</v>
      </c>
    </row>
    <row r="18" spans="1:4">
      <c r="A18" s="1" t="s">
        <v>16</v>
      </c>
      <c r="B18">
        <v>1.826029276607758</v>
      </c>
      <c r="C18">
        <v>1.375514160237242</v>
      </c>
      <c r="D18">
        <v>1.390435998789694</v>
      </c>
    </row>
    <row r="19" spans="1:4">
      <c r="A19" s="1" t="s">
        <v>17</v>
      </c>
      <c r="B19">
        <v>2.29353982334141</v>
      </c>
      <c r="C19">
        <v>2.579916357510859</v>
      </c>
      <c r="D19">
        <v>1.666075891762131</v>
      </c>
    </row>
    <row r="20" spans="1:4">
      <c r="A20" s="1" t="s">
        <v>18</v>
      </c>
      <c r="B20">
        <v>2.508029583322512</v>
      </c>
      <c r="C20">
        <v>1.620142560129363</v>
      </c>
      <c r="D20">
        <v>3.126816629526492</v>
      </c>
    </row>
    <row r="21" spans="1:4">
      <c r="A21" s="1" t="s">
        <v>19</v>
      </c>
      <c r="B21">
        <v>6.260647951364824</v>
      </c>
      <c r="C21">
        <v>9.290301023796568</v>
      </c>
      <c r="D21">
        <v>8.400084100579303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0.4422657698364702</v>
      </c>
      <c r="C2">
        <v>0.3375347865991122</v>
      </c>
      <c r="D2">
        <v>1.789932289344872</v>
      </c>
    </row>
    <row r="3" spans="1:4">
      <c r="A3" s="1" t="s">
        <v>1</v>
      </c>
      <c r="B3">
        <v>1.245635847629836</v>
      </c>
      <c r="C3">
        <v>1.288387471778377</v>
      </c>
      <c r="D3">
        <v>0.9789933273821388</v>
      </c>
    </row>
    <row r="4" spans="1:4">
      <c r="A4" s="1" t="s">
        <v>2</v>
      </c>
      <c r="B4">
        <v>1.031496624458621</v>
      </c>
      <c r="C4">
        <v>1.095720982953784</v>
      </c>
      <c r="D4">
        <v>1.075939364510267</v>
      </c>
    </row>
    <row r="5" spans="1:4">
      <c r="A5" s="1" t="s">
        <v>3</v>
      </c>
      <c r="B5">
        <v>1.029727417256112</v>
      </c>
      <c r="C5">
        <v>1.130721569741814</v>
      </c>
      <c r="D5">
        <v>1.094690172479807</v>
      </c>
    </row>
    <row r="6" spans="1:4">
      <c r="A6" s="1" t="s">
        <v>4</v>
      </c>
      <c r="B6">
        <v>0.8377431792403</v>
      </c>
      <c r="C6">
        <v>0.7220720639250341</v>
      </c>
      <c r="D6">
        <v>0.5105957805148279</v>
      </c>
    </row>
    <row r="7" spans="1:4">
      <c r="A7" s="1" t="s">
        <v>5</v>
      </c>
      <c r="B7">
        <v>0.9040711446033531</v>
      </c>
      <c r="C7">
        <v>1.151300995262603</v>
      </c>
      <c r="D7">
        <v>1.149605357327458</v>
      </c>
    </row>
    <row r="8" spans="1:4">
      <c r="A8" s="1" t="s">
        <v>6</v>
      </c>
      <c r="B8">
        <v>1.00073433213604</v>
      </c>
      <c r="C8">
        <v>1.001077143098531</v>
      </c>
      <c r="D8">
        <v>0.9974503238384971</v>
      </c>
    </row>
    <row r="9" spans="1:4">
      <c r="A9" s="1" t="s">
        <v>7</v>
      </c>
      <c r="B9">
        <v>1.072275857131369</v>
      </c>
      <c r="C9">
        <v>1.255098846502989</v>
      </c>
      <c r="D9">
        <v>0.2940563437915748</v>
      </c>
    </row>
    <row r="10" spans="1:4">
      <c r="A10" s="1" t="s">
        <v>8</v>
      </c>
      <c r="B10">
        <v>0.2324383327542296</v>
      </c>
      <c r="C10">
        <v>0.1748600097666945</v>
      </c>
      <c r="D10">
        <v>5.858966394570966</v>
      </c>
    </row>
    <row r="11" spans="1:4">
      <c r="A11" s="1" t="s">
        <v>9</v>
      </c>
      <c r="B11">
        <v>1.308586518093512</v>
      </c>
      <c r="C11">
        <v>0.9361865515207675</v>
      </c>
      <c r="D11">
        <v>0</v>
      </c>
    </row>
    <row r="12" spans="1:4">
      <c r="A12" s="1" t="s">
        <v>10</v>
      </c>
      <c r="B12">
        <v>1.073809711190238</v>
      </c>
      <c r="C12">
        <v>0.8000972500571878</v>
      </c>
      <c r="D12">
        <v>1.269631544517483</v>
      </c>
    </row>
    <row r="13" spans="1:4">
      <c r="A13" s="1" t="s">
        <v>11</v>
      </c>
      <c r="B13">
        <v>0.8196775667663578</v>
      </c>
      <c r="C13">
        <v>0.8564851938007868</v>
      </c>
      <c r="D13">
        <v>0.9586466497597749</v>
      </c>
    </row>
    <row r="14" spans="1:4">
      <c r="A14" s="1" t="s">
        <v>12</v>
      </c>
      <c r="B14">
        <v>2.208614640335937</v>
      </c>
      <c r="C14">
        <v>1.11867915654757</v>
      </c>
      <c r="D14">
        <v>1.953855045100264</v>
      </c>
    </row>
    <row r="15" spans="1:4">
      <c r="A15" s="1" t="s">
        <v>13</v>
      </c>
      <c r="B15">
        <v>1.602583180495594</v>
      </c>
      <c r="C15">
        <v>1.227972080488676</v>
      </c>
      <c r="D15">
        <v>1.455203963448036</v>
      </c>
    </row>
    <row r="16" spans="1:4">
      <c r="A16" s="1" t="s">
        <v>14</v>
      </c>
      <c r="B16">
        <v>1.733384927126081</v>
      </c>
      <c r="C16">
        <v>1.547371548601254</v>
      </c>
      <c r="D16">
        <v>1.535293037048661</v>
      </c>
    </row>
    <row r="17" spans="1:4">
      <c r="A17" s="1" t="s">
        <v>15</v>
      </c>
      <c r="B17">
        <v>0.5476303282096255</v>
      </c>
      <c r="C17">
        <v>0.4981660530775877</v>
      </c>
      <c r="D17">
        <v>1.070457917318963</v>
      </c>
    </row>
    <row r="18" spans="1:4">
      <c r="A18" s="1" t="s">
        <v>16</v>
      </c>
      <c r="B18">
        <v>1.439349854374665</v>
      </c>
      <c r="C18">
        <v>1.085819401214248</v>
      </c>
      <c r="D18">
        <v>0.9898574712520282</v>
      </c>
    </row>
    <row r="19" spans="1:4">
      <c r="A19" s="1" t="s">
        <v>17</v>
      </c>
      <c r="B19">
        <v>1.613533567123408</v>
      </c>
      <c r="C19">
        <v>1.830024459281862</v>
      </c>
      <c r="D19">
        <v>1.016870750029602</v>
      </c>
    </row>
    <row r="20" spans="1:4">
      <c r="A20" s="1" t="s">
        <v>18</v>
      </c>
      <c r="B20">
        <v>1.78687117101029</v>
      </c>
      <c r="C20">
        <v>1.146971925213575</v>
      </c>
      <c r="D20">
        <v>2.038887252549239</v>
      </c>
    </row>
    <row r="21" spans="1:4">
      <c r="A21" s="1" t="s">
        <v>19</v>
      </c>
      <c r="B21">
        <v>4.132076180785085</v>
      </c>
      <c r="C21">
        <v>6.180998598150579</v>
      </c>
      <c r="D21">
        <v>5.198919420591932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>
        <v>0.6749008174067501</v>
      </c>
      <c r="C2">
        <v>0.5097575268465893</v>
      </c>
      <c r="D2">
        <v>3.259810750157378</v>
      </c>
    </row>
    <row r="3" spans="1:4">
      <c r="A3" s="1" t="s">
        <v>1</v>
      </c>
      <c r="B3">
        <v>1.445264461477625</v>
      </c>
      <c r="C3">
        <v>1.496942816904946</v>
      </c>
      <c r="D3">
        <v>1.173284653061135</v>
      </c>
    </row>
    <row r="4" spans="1:4">
      <c r="A4" s="1" t="s">
        <v>2</v>
      </c>
      <c r="B4">
        <v>1.193156394861545</v>
      </c>
      <c r="C4">
        <v>1.266523435950717</v>
      </c>
      <c r="D4">
        <v>1.290935080610561</v>
      </c>
    </row>
    <row r="5" spans="1:4">
      <c r="A5" s="1" t="s">
        <v>3</v>
      </c>
      <c r="B5">
        <v>1.203184351906944</v>
      </c>
      <c r="C5">
        <v>1.322220362242032</v>
      </c>
      <c r="D5">
        <v>1.317165812483225</v>
      </c>
    </row>
    <row r="6" spans="1:4">
      <c r="A6" s="1" t="s">
        <v>4</v>
      </c>
      <c r="B6">
        <v>1.11499707229268</v>
      </c>
      <c r="C6">
        <v>0.9608132662498525</v>
      </c>
      <c r="D6">
        <v>0.7454427322125697</v>
      </c>
    </row>
    <row r="7" spans="1:4">
      <c r="A7" s="1" t="s">
        <v>5</v>
      </c>
      <c r="B7">
        <v>1.195866850830178</v>
      </c>
      <c r="C7">
        <v>1.521521439643285</v>
      </c>
      <c r="D7">
        <v>1.653757488574274</v>
      </c>
    </row>
    <row r="8" spans="1:4">
      <c r="A8" s="1" t="s">
        <v>6</v>
      </c>
      <c r="B8">
        <v>1.001644434346375</v>
      </c>
      <c r="C8">
        <v>1.00196594997833</v>
      </c>
      <c r="D8">
        <v>0.9987338366376813</v>
      </c>
    </row>
    <row r="9" spans="1:4">
      <c r="A9" s="1" t="s">
        <v>7</v>
      </c>
      <c r="B9">
        <v>2.519704142066142</v>
      </c>
      <c r="C9">
        <v>2.859093150295473</v>
      </c>
      <c r="D9">
        <v>1.313159768625469</v>
      </c>
    </row>
    <row r="10" spans="1:4">
      <c r="A10" s="1" t="s">
        <v>8</v>
      </c>
      <c r="B10">
        <v>0.95492704544527</v>
      </c>
      <c r="C10">
        <v>0.7238046217232585</v>
      </c>
      <c r="D10">
        <v>18.25428843586899</v>
      </c>
    </row>
    <row r="11" spans="1:4">
      <c r="A11" s="1" t="s">
        <v>9</v>
      </c>
      <c r="B11">
        <v>3.749711298659764</v>
      </c>
      <c r="C11">
        <v>2.721297031197627</v>
      </c>
      <c r="D11" t="s">
        <v>20</v>
      </c>
    </row>
    <row r="12" spans="1:4">
      <c r="A12" s="1" t="s">
        <v>10</v>
      </c>
      <c r="B12">
        <v>2.235784325694028</v>
      </c>
      <c r="C12">
        <v>1.671137934235391</v>
      </c>
      <c r="D12">
        <v>3.268081761718476</v>
      </c>
    </row>
    <row r="13" spans="1:4">
      <c r="A13" s="1" t="s">
        <v>11</v>
      </c>
      <c r="B13">
        <v>1.37087527100412</v>
      </c>
      <c r="C13">
        <v>1.408796889719782</v>
      </c>
      <c r="D13">
        <v>1.943701142175847</v>
      </c>
    </row>
    <row r="14" spans="1:4">
      <c r="A14" s="1" t="s">
        <v>12</v>
      </c>
      <c r="B14">
        <v>4.466214658667177</v>
      </c>
      <c r="C14">
        <v>2.318903751798498</v>
      </c>
      <c r="D14">
        <v>4.829993152974894</v>
      </c>
    </row>
    <row r="15" spans="1:4">
      <c r="A15" s="1" t="s">
        <v>13</v>
      </c>
      <c r="B15">
        <v>2.729015296244384</v>
      </c>
      <c r="C15">
        <v>2.090297572993559</v>
      </c>
      <c r="D15">
        <v>3.01012340835876</v>
      </c>
    </row>
    <row r="16" spans="1:4">
      <c r="A16" s="1" t="s">
        <v>14</v>
      </c>
      <c r="B16">
        <v>3.682461491351564</v>
      </c>
      <c r="C16">
        <v>3.275484724271861</v>
      </c>
      <c r="D16">
        <v>4.149964816573102</v>
      </c>
    </row>
    <row r="17" spans="1:4">
      <c r="A17" s="1" t="s">
        <v>15</v>
      </c>
      <c r="B17">
        <v>1.127240610618942</v>
      </c>
      <c r="C17">
        <v>1.006780480815178</v>
      </c>
      <c r="D17">
        <v>2.596870899541084</v>
      </c>
    </row>
    <row r="18" spans="1:4">
      <c r="A18" s="1" t="s">
        <v>16</v>
      </c>
      <c r="B18">
        <v>2.31658961085406</v>
      </c>
      <c r="C18">
        <v>1.742498985464193</v>
      </c>
      <c r="D18">
        <v>1.953121861357404</v>
      </c>
    </row>
    <row r="19" spans="1:4">
      <c r="A19" s="1" t="s">
        <v>17</v>
      </c>
      <c r="B19">
        <v>3.260127355534972</v>
      </c>
      <c r="C19">
        <v>3.637092596218106</v>
      </c>
      <c r="D19">
        <v>2.729755848548278</v>
      </c>
    </row>
    <row r="20" spans="1:4">
      <c r="A20" s="1" t="s">
        <v>18</v>
      </c>
      <c r="B20">
        <v>3.520238332159352</v>
      </c>
      <c r="C20">
        <v>2.288514528944337</v>
      </c>
      <c r="D20">
        <v>4.795253990851707</v>
      </c>
    </row>
    <row r="21" spans="1:4">
      <c r="A21" s="1" t="s">
        <v>19</v>
      </c>
      <c r="B21">
        <v>9.485718814477774</v>
      </c>
      <c r="C21">
        <v>13.9637134262707</v>
      </c>
      <c r="D21">
        <v>13.57232285950131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4</v>
      </c>
      <c r="B2">
        <v>2</v>
      </c>
      <c r="C2">
        <v>-0.4829770018363957</v>
      </c>
      <c r="D2">
        <v>0.09653240449474285</v>
      </c>
      <c r="E2">
        <v>5.636797252862346E-07</v>
      </c>
      <c r="F2">
        <v>-0.6721770379871441</v>
      </c>
      <c r="G2">
        <v>-0.2937769656856473</v>
      </c>
      <c r="H2">
        <v>0.6169440117897109</v>
      </c>
      <c r="I2">
        <v>0.5105957805148279</v>
      </c>
      <c r="J2">
        <v>0.7454427322125697</v>
      </c>
    </row>
    <row r="3" spans="1:10">
      <c r="A3" t="s">
        <v>4</v>
      </c>
      <c r="B3">
        <v>1</v>
      </c>
      <c r="C3">
        <v>-0.1828027671736541</v>
      </c>
      <c r="D3">
        <v>0.072872546379721</v>
      </c>
      <c r="E3">
        <v>0.01212356223906285</v>
      </c>
      <c r="F3">
        <v>-0.325630333539632</v>
      </c>
      <c r="G3">
        <v>-0.03997520080767622</v>
      </c>
      <c r="H3">
        <v>0.8329324211528715</v>
      </c>
      <c r="I3">
        <v>0.7220720639250341</v>
      </c>
      <c r="J3">
        <v>0.9608132662498525</v>
      </c>
    </row>
    <row r="4" spans="1:10">
      <c r="A4" t="s">
        <v>4</v>
      </c>
      <c r="B4">
        <v>0</v>
      </c>
      <c r="C4">
        <v>-0.0340959574980061</v>
      </c>
      <c r="D4">
        <v>0.07293385888093831</v>
      </c>
      <c r="E4">
        <v>0.6401482876568224</v>
      </c>
      <c r="F4">
        <v>-0.1770436941581719</v>
      </c>
      <c r="G4">
        <v>0.1088517791621598</v>
      </c>
      <c r="H4">
        <v>0.9664787593041538</v>
      </c>
      <c r="I4">
        <v>0.8377431792403</v>
      </c>
      <c r="J4">
        <v>1.11499707229268</v>
      </c>
    </row>
    <row r="5" spans="1:10">
      <c r="A5" t="s">
        <v>5</v>
      </c>
      <c r="B5">
        <v>1</v>
      </c>
      <c r="C5">
        <v>0.280301692271999</v>
      </c>
      <c r="D5">
        <v>0.07112839327968028</v>
      </c>
      <c r="E5">
        <v>8.12154569223918E-05</v>
      </c>
      <c r="F5">
        <v>0.1408926031656249</v>
      </c>
      <c r="G5">
        <v>0.4197107813783731</v>
      </c>
      <c r="H5">
        <v>1.323529050597191</v>
      </c>
      <c r="I5">
        <v>1.151300995262603</v>
      </c>
      <c r="J5">
        <v>1.521521439643285</v>
      </c>
    </row>
    <row r="6" spans="1:10">
      <c r="A6" t="s">
        <v>5</v>
      </c>
      <c r="B6">
        <v>2</v>
      </c>
      <c r="C6">
        <v>0.3212343403067756</v>
      </c>
      <c r="D6">
        <v>0.09276477823192204</v>
      </c>
      <c r="E6">
        <v>0.0005344043081923756</v>
      </c>
      <c r="F6">
        <v>0.1394187159383632</v>
      </c>
      <c r="G6">
        <v>0.5030499646751879</v>
      </c>
      <c r="H6">
        <v>1.378828658168008</v>
      </c>
      <c r="I6">
        <v>1.149605357327458</v>
      </c>
      <c r="J6">
        <v>1.653757488574274</v>
      </c>
    </row>
    <row r="7" spans="1:10">
      <c r="A7" t="s">
        <v>5</v>
      </c>
      <c r="B7">
        <v>0</v>
      </c>
      <c r="C7">
        <v>0.03901204934473566</v>
      </c>
      <c r="D7">
        <v>0.07135808226685972</v>
      </c>
      <c r="E7">
        <v>0.584579213661389</v>
      </c>
      <c r="F7">
        <v>-0.1008472219041557</v>
      </c>
      <c r="G7">
        <v>0.178871320593627</v>
      </c>
      <c r="H7">
        <v>1.039783012278642</v>
      </c>
      <c r="I7">
        <v>0.9040711446033531</v>
      </c>
      <c r="J7">
        <v>1.195866850830178</v>
      </c>
    </row>
    <row r="8" spans="1:10">
      <c r="A8" t="s">
        <v>7</v>
      </c>
      <c r="B8">
        <v>1</v>
      </c>
      <c r="C8">
        <v>0.6388594129354243</v>
      </c>
      <c r="D8">
        <v>0.2100268599558361</v>
      </c>
      <c r="E8">
        <v>0.002351691690106648</v>
      </c>
      <c r="F8">
        <v>0.2272143316359478</v>
      </c>
      <c r="G8">
        <v>1.050504494234901</v>
      </c>
      <c r="H8">
        <v>1.894319010879753</v>
      </c>
      <c r="I8">
        <v>1.255098846502989</v>
      </c>
      <c r="J8">
        <v>2.859093150295473</v>
      </c>
    </row>
    <row r="9" spans="1:10">
      <c r="A9" t="s">
        <v>7</v>
      </c>
      <c r="B9">
        <v>0</v>
      </c>
      <c r="C9">
        <v>0.4969624248238041</v>
      </c>
      <c r="D9">
        <v>0.2179525079208967</v>
      </c>
      <c r="E9">
        <v>0.02259933390378948</v>
      </c>
      <c r="F9">
        <v>0.06978335895866566</v>
      </c>
      <c r="G9">
        <v>0.9241414906889427</v>
      </c>
      <c r="H9">
        <v>1.643720754462701</v>
      </c>
      <c r="I9">
        <v>1.072275857131369</v>
      </c>
      <c r="J9">
        <v>2.519704142066142</v>
      </c>
    </row>
    <row r="10" spans="1:10">
      <c r="A10" t="s">
        <v>7</v>
      </c>
      <c r="B10">
        <v>2</v>
      </c>
      <c r="C10">
        <v>-0.4757738072080497</v>
      </c>
      <c r="D10">
        <v>0.3817468500183063</v>
      </c>
      <c r="E10">
        <v>0.2126516745473842</v>
      </c>
      <c r="F10">
        <v>-1.223983884455544</v>
      </c>
      <c r="G10">
        <v>0.2724362700394443</v>
      </c>
      <c r="H10">
        <v>0.6214040234631537</v>
      </c>
      <c r="I10">
        <v>0.2940563437915748</v>
      </c>
      <c r="J10">
        <v>1.313159768625469</v>
      </c>
    </row>
    <row r="11" spans="1:10">
      <c r="A11" t="s">
        <v>8</v>
      </c>
      <c r="B11">
        <v>2</v>
      </c>
      <c r="C11">
        <v>2.336186620032137</v>
      </c>
      <c r="D11">
        <v>0.2899101308297342</v>
      </c>
      <c r="E11">
        <v>7.735444700066565E-16</v>
      </c>
      <c r="F11">
        <v>1.767973204852563</v>
      </c>
      <c r="G11">
        <v>2.904400035211712</v>
      </c>
      <c r="H11">
        <v>10.34172434860656</v>
      </c>
      <c r="I11">
        <v>5.858966394570966</v>
      </c>
      <c r="J11">
        <v>18.25428843586899</v>
      </c>
    </row>
    <row r="12" spans="1:10">
      <c r="A12" t="s">
        <v>8</v>
      </c>
      <c r="B12">
        <v>1</v>
      </c>
      <c r="C12">
        <v>-1.033501675944168</v>
      </c>
      <c r="D12">
        <v>0.3623882372499505</v>
      </c>
      <c r="E12">
        <v>0.004345625669409753</v>
      </c>
      <c r="F12">
        <v>-1.743769569375027</v>
      </c>
      <c r="G12">
        <v>-0.3232337825133088</v>
      </c>
      <c r="H12">
        <v>0.3557590240931459</v>
      </c>
      <c r="I12">
        <v>0.1748600097666945</v>
      </c>
      <c r="J12">
        <v>0.7238046217232585</v>
      </c>
    </row>
    <row r="13" spans="1:10">
      <c r="A13" t="s">
        <v>8</v>
      </c>
      <c r="B13">
        <v>0</v>
      </c>
      <c r="C13">
        <v>-0.7526253291124489</v>
      </c>
      <c r="D13">
        <v>0.3604683560830325</v>
      </c>
      <c r="E13">
        <v>0.03680599305891569</v>
      </c>
      <c r="F13">
        <v>-1.459130324601552</v>
      </c>
      <c r="G13">
        <v>-0.04612033362334567</v>
      </c>
      <c r="H13">
        <v>0.4711280615132376</v>
      </c>
      <c r="I13">
        <v>0.2324383327542296</v>
      </c>
      <c r="J13">
        <v>0.95492704544527</v>
      </c>
    </row>
    <row r="14" spans="1:10">
      <c r="A14" t="s">
        <v>9</v>
      </c>
      <c r="B14">
        <v>0</v>
      </c>
      <c r="C14">
        <v>0.7953132054265063</v>
      </c>
      <c r="D14">
        <v>0.2685588351214626</v>
      </c>
      <c r="E14">
        <v>0.003062325518987431</v>
      </c>
      <c r="F14">
        <v>0.2689475608584091</v>
      </c>
      <c r="G14">
        <v>1.321678849994603</v>
      </c>
      <c r="H14">
        <v>2.215134680368009</v>
      </c>
      <c r="I14">
        <v>1.308586518093512</v>
      </c>
      <c r="J14">
        <v>3.749711298659764</v>
      </c>
    </row>
    <row r="15" spans="1:10">
      <c r="A15" t="s">
        <v>9</v>
      </c>
      <c r="B15">
        <v>1</v>
      </c>
      <c r="C15">
        <v>0.4675840505864751</v>
      </c>
      <c r="D15">
        <v>0.2722114130556093</v>
      </c>
      <c r="E15">
        <v>0.08584698749941386</v>
      </c>
      <c r="F15">
        <v>-0.06594051518327532</v>
      </c>
      <c r="G15">
        <v>1.001108616356226</v>
      </c>
      <c r="H15">
        <v>1.596133353858821</v>
      </c>
      <c r="I15">
        <v>0.9361865515207675</v>
      </c>
      <c r="J15">
        <v>2.721297031197627</v>
      </c>
    </row>
    <row r="16" spans="1:10">
      <c r="A16" t="s">
        <v>9</v>
      </c>
      <c r="B16">
        <v>2</v>
      </c>
      <c r="C16">
        <v>-34.5065154958463</v>
      </c>
      <c r="D16">
        <v>10494353.17184994</v>
      </c>
      <c r="E16">
        <v>0.9999973764732795</v>
      </c>
      <c r="F16">
        <v>-20568588.76438506</v>
      </c>
      <c r="G16">
        <v>20568519.75135406</v>
      </c>
      <c r="H16">
        <v>1.032786923300136E-15</v>
      </c>
      <c r="I16">
        <v>0</v>
      </c>
      <c r="J16" t="s">
        <v>20</v>
      </c>
    </row>
    <row r="17" spans="1:10">
      <c r="A17" t="s">
        <v>10</v>
      </c>
      <c r="B17">
        <v>2</v>
      </c>
      <c r="C17">
        <v>0.7114649657600799</v>
      </c>
      <c r="D17">
        <v>0.2411974064520118</v>
      </c>
      <c r="E17">
        <v>0.003180613876283958</v>
      </c>
      <c r="F17">
        <v>0.2387267359496679</v>
      </c>
      <c r="G17">
        <v>1.184203195570492</v>
      </c>
      <c r="H17">
        <v>2.036973169862589</v>
      </c>
      <c r="I17">
        <v>1.269631544517483</v>
      </c>
      <c r="J17">
        <v>3.268081761718476</v>
      </c>
    </row>
    <row r="18" spans="1:10">
      <c r="A18" t="s">
        <v>10</v>
      </c>
      <c r="B18">
        <v>0</v>
      </c>
      <c r="C18">
        <v>0.4379024489763731</v>
      </c>
      <c r="D18">
        <v>0.1870899920318121</v>
      </c>
      <c r="E18">
        <v>0.01925288822176206</v>
      </c>
      <c r="F18">
        <v>0.07121280272613584</v>
      </c>
      <c r="G18">
        <v>0.8045920952266105</v>
      </c>
      <c r="H18">
        <v>1.54945374924751</v>
      </c>
      <c r="I18">
        <v>1.073809711190238</v>
      </c>
      <c r="J18">
        <v>2.235784325694028</v>
      </c>
    </row>
    <row r="19" spans="1:10">
      <c r="A19" t="s">
        <v>10</v>
      </c>
      <c r="B19">
        <v>1</v>
      </c>
      <c r="C19">
        <v>0.1452413979987559</v>
      </c>
      <c r="D19">
        <v>0.1878929393776754</v>
      </c>
      <c r="E19">
        <v>0.4395218897187138</v>
      </c>
      <c r="F19">
        <v>-0.2230219961308557</v>
      </c>
      <c r="G19">
        <v>0.5135047921283675</v>
      </c>
      <c r="H19">
        <v>1.156318669592421</v>
      </c>
      <c r="I19">
        <v>0.8000972500571878</v>
      </c>
      <c r="J19">
        <v>1.671137934235391</v>
      </c>
    </row>
    <row r="20" spans="1:10">
      <c r="A20" t="s">
        <v>11</v>
      </c>
      <c r="B20">
        <v>2</v>
      </c>
      <c r="C20">
        <v>0.3111806158997554</v>
      </c>
      <c r="D20">
        <v>0.1803162444102725</v>
      </c>
      <c r="E20">
        <v>0.08439254118590818</v>
      </c>
      <c r="F20">
        <v>-0.0422327289719005</v>
      </c>
      <c r="G20">
        <v>0.6645939607714113</v>
      </c>
      <c r="H20">
        <v>1.36503574608181</v>
      </c>
      <c r="I20">
        <v>0.9586466497597749</v>
      </c>
      <c r="J20">
        <v>1.943701142175847</v>
      </c>
    </row>
    <row r="21" spans="1:10">
      <c r="A21" t="s">
        <v>11</v>
      </c>
      <c r="B21">
        <v>1</v>
      </c>
      <c r="C21">
        <v>0.09390891110718884</v>
      </c>
      <c r="D21">
        <v>0.1269549651429914</v>
      </c>
      <c r="E21">
        <v>0.4594805021226364</v>
      </c>
      <c r="F21">
        <v>-0.1549182482316122</v>
      </c>
      <c r="G21">
        <v>0.3427360704459899</v>
      </c>
      <c r="H21">
        <v>1.09845968388357</v>
      </c>
      <c r="I21">
        <v>0.8564851938007868</v>
      </c>
      <c r="J21">
        <v>1.408796889719782</v>
      </c>
    </row>
    <row r="22" spans="1:10">
      <c r="A22" t="s">
        <v>11</v>
      </c>
      <c r="B22">
        <v>0</v>
      </c>
      <c r="C22">
        <v>0.05830259623649291</v>
      </c>
      <c r="D22">
        <v>0.1311997697799709</v>
      </c>
      <c r="E22">
        <v>0.6567676363558745</v>
      </c>
      <c r="F22">
        <v>-0.1988442273121966</v>
      </c>
      <c r="G22">
        <v>0.3154494197851824</v>
      </c>
      <c r="H22">
        <v>1.060035710000766</v>
      </c>
      <c r="I22">
        <v>0.8196775667663578</v>
      </c>
      <c r="J22">
        <v>1.37087527100412</v>
      </c>
    </row>
    <row r="23" spans="1:10">
      <c r="A23" t="s">
        <v>12</v>
      </c>
      <c r="B23">
        <v>0</v>
      </c>
      <c r="C23">
        <v>1.144453338370941</v>
      </c>
      <c r="D23">
        <v>0.1796399738738135</v>
      </c>
      <c r="E23">
        <v>1.880243005814158E-10</v>
      </c>
      <c r="F23">
        <v>0.7923654593945504</v>
      </c>
      <c r="G23">
        <v>1.496541217347332</v>
      </c>
      <c r="H23">
        <v>3.140723974184183</v>
      </c>
      <c r="I23">
        <v>2.208614640335937</v>
      </c>
      <c r="J23">
        <v>4.466214658667177</v>
      </c>
    </row>
    <row r="24" spans="1:10">
      <c r="A24" t="s">
        <v>12</v>
      </c>
      <c r="B24">
        <v>2</v>
      </c>
      <c r="C24">
        <v>1.122324708627201</v>
      </c>
      <c r="D24">
        <v>0.2308819677311198</v>
      </c>
      <c r="E24">
        <v>1.167751809063688E-06</v>
      </c>
      <c r="F24">
        <v>0.6698043671944676</v>
      </c>
      <c r="G24">
        <v>1.574845050059935</v>
      </c>
      <c r="H24">
        <v>3.071987384371838</v>
      </c>
      <c r="I24">
        <v>1.953855045100264</v>
      </c>
      <c r="J24">
        <v>4.829993152974894</v>
      </c>
    </row>
    <row r="25" spans="1:10">
      <c r="A25" t="s">
        <v>12</v>
      </c>
      <c r="B25">
        <v>1</v>
      </c>
      <c r="C25">
        <v>0.4766216090370595</v>
      </c>
      <c r="D25">
        <v>0.1859590008114657</v>
      </c>
      <c r="E25">
        <v>0.01037580822210561</v>
      </c>
      <c r="F25">
        <v>0.112148664845532</v>
      </c>
      <c r="G25">
        <v>0.8410945532285869</v>
      </c>
      <c r="H25">
        <v>1.610623883213253</v>
      </c>
      <c r="I25">
        <v>1.11867915654757</v>
      </c>
      <c r="J25">
        <v>2.318903751798498</v>
      </c>
    </row>
    <row r="26" spans="1:10">
      <c r="A26" t="s">
        <v>13</v>
      </c>
      <c r="B26">
        <v>0</v>
      </c>
      <c r="C26">
        <v>0.7377788309773272</v>
      </c>
      <c r="D26">
        <v>0.1357994421865295</v>
      </c>
      <c r="E26">
        <v>5.545912341000107E-08</v>
      </c>
      <c r="F26">
        <v>0.4716168151711003</v>
      </c>
      <c r="G26">
        <v>1.003940846783554</v>
      </c>
      <c r="H26">
        <v>2.091285253875341</v>
      </c>
      <c r="I26">
        <v>1.602583180495594</v>
      </c>
      <c r="J26">
        <v>2.729015296244384</v>
      </c>
    </row>
    <row r="27" spans="1:10">
      <c r="A27" t="s">
        <v>13</v>
      </c>
      <c r="B27">
        <v>2</v>
      </c>
      <c r="C27">
        <v>0.7385635746190091</v>
      </c>
      <c r="D27">
        <v>0.1854205003880934</v>
      </c>
      <c r="E27">
        <v>6.799867854233161E-05</v>
      </c>
      <c r="F27">
        <v>0.375146071862951</v>
      </c>
      <c r="G27">
        <v>1.101981077375067</v>
      </c>
      <c r="H27">
        <v>2.092927020780079</v>
      </c>
      <c r="I27">
        <v>1.455203963448036</v>
      </c>
      <c r="J27">
        <v>3.01012340835876</v>
      </c>
    </row>
    <row r="28" spans="1:10">
      <c r="A28" t="s">
        <v>13</v>
      </c>
      <c r="B28">
        <v>1</v>
      </c>
      <c r="C28">
        <v>0.4713352644862845</v>
      </c>
      <c r="D28">
        <v>0.1357020704850443</v>
      </c>
      <c r="E28">
        <v>0.0005140825305274167</v>
      </c>
      <c r="F28">
        <v>0.2053640937080818</v>
      </c>
      <c r="G28">
        <v>0.7373064352644872</v>
      </c>
      <c r="H28">
        <v>1.602132035616706</v>
      </c>
      <c r="I28">
        <v>1.227972080488676</v>
      </c>
      <c r="J28">
        <v>2.090297572993559</v>
      </c>
    </row>
    <row r="29" spans="1:10">
      <c r="A29" t="s">
        <v>14</v>
      </c>
      <c r="B29">
        <v>0</v>
      </c>
      <c r="C29">
        <v>0.9268287571116774</v>
      </c>
      <c r="D29">
        <v>0.1922242745058115</v>
      </c>
      <c r="E29">
        <v>1.424105721900364E-06</v>
      </c>
      <c r="F29">
        <v>0.5500761021259459</v>
      </c>
      <c r="G29">
        <v>1.303581412097409</v>
      </c>
      <c r="H29">
        <v>2.526484364454098</v>
      </c>
      <c r="I29">
        <v>1.733384927126081</v>
      </c>
      <c r="J29">
        <v>3.682461491351564</v>
      </c>
    </row>
    <row r="30" spans="1:10">
      <c r="A30" t="s">
        <v>14</v>
      </c>
      <c r="B30">
        <v>1</v>
      </c>
      <c r="C30">
        <v>0.8115117909637496</v>
      </c>
      <c r="D30">
        <v>0.1913066145808262</v>
      </c>
      <c r="E30">
        <v>2.215927898624365E-05</v>
      </c>
      <c r="F30">
        <v>0.436557716381045</v>
      </c>
      <c r="G30">
        <v>1.186465865546454</v>
      </c>
      <c r="H30">
        <v>2.251308923763307</v>
      </c>
      <c r="I30">
        <v>1.547371548601254</v>
      </c>
      <c r="J30">
        <v>3.275484724271861</v>
      </c>
    </row>
    <row r="31" spans="1:10">
      <c r="A31" t="s">
        <v>14</v>
      </c>
      <c r="B31">
        <v>2</v>
      </c>
      <c r="C31">
        <v>0.9259105613533118</v>
      </c>
      <c r="D31">
        <v>0.2536726689066385</v>
      </c>
      <c r="E31">
        <v>0.0002622188994384202</v>
      </c>
      <c r="F31">
        <v>0.4287212664341468</v>
      </c>
      <c r="G31">
        <v>1.423099856272477</v>
      </c>
      <c r="H31">
        <v>2.524165621919767</v>
      </c>
      <c r="I31">
        <v>1.535293037048661</v>
      </c>
      <c r="J31">
        <v>4.149964816573102</v>
      </c>
    </row>
    <row r="32" spans="1:10">
      <c r="A32" t="s">
        <v>15</v>
      </c>
      <c r="B32">
        <v>2</v>
      </c>
      <c r="C32">
        <v>0.5111968685495991</v>
      </c>
      <c r="D32">
        <v>0.2260808642447573</v>
      </c>
      <c r="E32">
        <v>0.02375157946911696</v>
      </c>
      <c r="F32">
        <v>0.06808651703618546</v>
      </c>
      <c r="G32">
        <v>0.9543072200630127</v>
      </c>
      <c r="H32">
        <v>1.667285522839136</v>
      </c>
      <c r="I32">
        <v>1.070457917318963</v>
      </c>
      <c r="J32">
        <v>2.596870899541084</v>
      </c>
    </row>
    <row r="33" spans="1:10">
      <c r="A33" t="s">
        <v>15</v>
      </c>
      <c r="B33">
        <v>1</v>
      </c>
      <c r="C33">
        <v>-0.3450321104405665</v>
      </c>
      <c r="D33">
        <v>0.1794878426112364</v>
      </c>
      <c r="E33">
        <v>0.0545661769378876</v>
      </c>
      <c r="F33">
        <v>-0.6968218176213834</v>
      </c>
      <c r="G33">
        <v>0.006757596740250449</v>
      </c>
      <c r="H33">
        <v>0.7081976125653441</v>
      </c>
      <c r="I33">
        <v>0.4981660530775877</v>
      </c>
      <c r="J33">
        <v>1.006780480815178</v>
      </c>
    </row>
    <row r="34" spans="1:10">
      <c r="A34" t="s">
        <v>15</v>
      </c>
      <c r="B34">
        <v>0</v>
      </c>
      <c r="C34">
        <v>-0.24119104720014</v>
      </c>
      <c r="D34">
        <v>0.1841685657870053</v>
      </c>
      <c r="E34">
        <v>0.1903240330569265</v>
      </c>
      <c r="F34">
        <v>-0.6021548032270659</v>
      </c>
      <c r="G34">
        <v>0.1197727088267859</v>
      </c>
      <c r="H34">
        <v>0.7856915078861869</v>
      </c>
      <c r="I34">
        <v>0.5476303282096255</v>
      </c>
      <c r="J34">
        <v>1.127240610618942</v>
      </c>
    </row>
    <row r="35" spans="1:10">
      <c r="A35" t="s">
        <v>16</v>
      </c>
      <c r="B35">
        <v>0</v>
      </c>
      <c r="C35">
        <v>0.6021438152357899</v>
      </c>
      <c r="D35">
        <v>0.1214064623098781</v>
      </c>
      <c r="E35">
        <v>7.05896025818257E-07</v>
      </c>
      <c r="F35">
        <v>0.3641915216180093</v>
      </c>
      <c r="G35">
        <v>0.8400961088535704</v>
      </c>
      <c r="H35">
        <v>1.826029276607758</v>
      </c>
      <c r="I35">
        <v>1.439349854374665</v>
      </c>
      <c r="J35">
        <v>2.31658961085406</v>
      </c>
    </row>
    <row r="36" spans="1:10">
      <c r="A36" t="s">
        <v>16</v>
      </c>
      <c r="B36">
        <v>1</v>
      </c>
      <c r="C36">
        <v>0.3188275959403661</v>
      </c>
      <c r="D36">
        <v>0.1206617505971601</v>
      </c>
      <c r="E36">
        <v>0.008233893160814772</v>
      </c>
      <c r="F36">
        <v>0.0823349104583779</v>
      </c>
      <c r="G36">
        <v>0.5553202814223542</v>
      </c>
      <c r="H36">
        <v>1.375514160237242</v>
      </c>
      <c r="I36">
        <v>1.085819401214248</v>
      </c>
      <c r="J36">
        <v>1.742498985464193</v>
      </c>
    </row>
    <row r="37" spans="1:10">
      <c r="A37" t="s">
        <v>16</v>
      </c>
      <c r="B37">
        <v>2</v>
      </c>
      <c r="C37">
        <v>0.3296173661530415</v>
      </c>
      <c r="D37">
        <v>0.1733764923660223</v>
      </c>
      <c r="E37">
        <v>0.05728036836899748</v>
      </c>
      <c r="F37">
        <v>-0.01019431465024578</v>
      </c>
      <c r="G37">
        <v>0.6694290469563289</v>
      </c>
      <c r="H37">
        <v>1.390435998789694</v>
      </c>
      <c r="I37">
        <v>0.9898574712520282</v>
      </c>
      <c r="J37">
        <v>1.953121861357404</v>
      </c>
    </row>
    <row r="38" spans="1:10">
      <c r="A38" t="s">
        <v>17</v>
      </c>
      <c r="B38">
        <v>1</v>
      </c>
      <c r="C38">
        <v>0.9477569788385661</v>
      </c>
      <c r="D38">
        <v>0.1752214066460799</v>
      </c>
      <c r="E38">
        <v>6.34091592241759E-08</v>
      </c>
      <c r="F38">
        <v>0.6043293324918023</v>
      </c>
      <c r="G38">
        <v>1.29118462518533</v>
      </c>
      <c r="H38">
        <v>2.579916357510859</v>
      </c>
      <c r="I38">
        <v>1.830024459281862</v>
      </c>
      <c r="J38">
        <v>3.637092596218106</v>
      </c>
    </row>
    <row r="39" spans="1:10">
      <c r="A39" t="s">
        <v>17</v>
      </c>
      <c r="B39">
        <v>0</v>
      </c>
      <c r="C39">
        <v>0.8300963984715608</v>
      </c>
      <c r="D39">
        <v>0.1794266961193899</v>
      </c>
      <c r="E39">
        <v>3.721090975815924E-06</v>
      </c>
      <c r="F39">
        <v>0.4784265362125439</v>
      </c>
      <c r="G39">
        <v>1.181766260730578</v>
      </c>
      <c r="H39">
        <v>2.29353982334141</v>
      </c>
      <c r="I39">
        <v>1.613533567123408</v>
      </c>
      <c r="J39">
        <v>3.260127355534972</v>
      </c>
    </row>
    <row r="40" spans="1:10">
      <c r="A40" t="s">
        <v>17</v>
      </c>
      <c r="B40">
        <v>2</v>
      </c>
      <c r="C40">
        <v>0.510471095985722</v>
      </c>
      <c r="D40">
        <v>0.2519133414390092</v>
      </c>
      <c r="E40">
        <v>0.0427262900640716</v>
      </c>
      <c r="F40">
        <v>0.01673001954012249</v>
      </c>
      <c r="G40">
        <v>1.004212172431322</v>
      </c>
      <c r="H40">
        <v>1.666075891762131</v>
      </c>
      <c r="I40">
        <v>1.016870750029602</v>
      </c>
      <c r="J40">
        <v>2.729755848548278</v>
      </c>
    </row>
    <row r="41" spans="1:10">
      <c r="A41" t="s">
        <v>18</v>
      </c>
      <c r="B41">
        <v>0</v>
      </c>
      <c r="C41">
        <v>0.9194974182842455</v>
      </c>
      <c r="D41">
        <v>0.1729783198608386</v>
      </c>
      <c r="E41">
        <v>1.062596707219169E-07</v>
      </c>
      <c r="F41">
        <v>0.5804661412507524</v>
      </c>
      <c r="G41">
        <v>1.258528695317739</v>
      </c>
      <c r="H41">
        <v>2.508029583322512</v>
      </c>
      <c r="I41">
        <v>1.78687117101029</v>
      </c>
      <c r="J41">
        <v>3.520238332159352</v>
      </c>
    </row>
    <row r="42" spans="1:10">
      <c r="A42" t="s">
        <v>18</v>
      </c>
      <c r="B42">
        <v>2</v>
      </c>
      <c r="C42">
        <v>1.140015435734983</v>
      </c>
      <c r="D42">
        <v>0.2181730095595095</v>
      </c>
      <c r="E42">
        <v>1.738901606644541E-07</v>
      </c>
      <c r="F42">
        <v>0.712404194599632</v>
      </c>
      <c r="G42">
        <v>1.567626676870335</v>
      </c>
      <c r="H42">
        <v>3.126816629526492</v>
      </c>
      <c r="I42">
        <v>2.038887252549239</v>
      </c>
      <c r="J42">
        <v>4.795253990851707</v>
      </c>
    </row>
    <row r="43" spans="1:10">
      <c r="A43" t="s">
        <v>18</v>
      </c>
      <c r="B43">
        <v>1</v>
      </c>
      <c r="C43">
        <v>0.4825141454523663</v>
      </c>
      <c r="D43">
        <v>0.1762220056282271</v>
      </c>
      <c r="E43">
        <v>0.006179456614521751</v>
      </c>
      <c r="F43">
        <v>0.1371253611376265</v>
      </c>
      <c r="G43">
        <v>0.827902929767106</v>
      </c>
      <c r="H43">
        <v>1.620142560129363</v>
      </c>
      <c r="I43">
        <v>1.146971925213575</v>
      </c>
      <c r="J43">
        <v>2.288514528944337</v>
      </c>
    </row>
    <row r="44" spans="1:10">
      <c r="A44" t="s">
        <v>19</v>
      </c>
      <c r="B44">
        <v>1</v>
      </c>
      <c r="C44">
        <v>2.228970955292877</v>
      </c>
      <c r="D44">
        <v>0.2079074486213938</v>
      </c>
      <c r="E44">
        <v>8.114173171365834E-27</v>
      </c>
      <c r="F44">
        <v>1.821479843877334</v>
      </c>
      <c r="G44">
        <v>2.636462066708421</v>
      </c>
      <c r="H44">
        <v>9.290301023796568</v>
      </c>
      <c r="I44">
        <v>6.180998598150579</v>
      </c>
      <c r="J44">
        <v>13.9637134262707</v>
      </c>
    </row>
    <row r="45" spans="1:10">
      <c r="A45" t="s">
        <v>19</v>
      </c>
      <c r="B45">
        <v>2</v>
      </c>
      <c r="C45">
        <v>2.128241717772875</v>
      </c>
      <c r="D45">
        <v>0.2447957826248497</v>
      </c>
      <c r="E45">
        <v>3.500590430740833E-18</v>
      </c>
      <c r="F45">
        <v>1.648450800260874</v>
      </c>
      <c r="G45">
        <v>2.608032635284876</v>
      </c>
      <c r="H45">
        <v>8.400084100579303</v>
      </c>
      <c r="I45">
        <v>5.198919420591932</v>
      </c>
      <c r="J45">
        <v>13.57232285950131</v>
      </c>
    </row>
    <row r="46" spans="1:10">
      <c r="A46" t="s">
        <v>19</v>
      </c>
      <c r="B46">
        <v>0</v>
      </c>
      <c r="C46">
        <v>1.834283686363367</v>
      </c>
      <c r="D46">
        <v>0.2119955783733375</v>
      </c>
      <c r="E46">
        <v>5.040014076564118E-18</v>
      </c>
      <c r="F46">
        <v>1.418779987869887</v>
      </c>
      <c r="G46">
        <v>2.249787384856847</v>
      </c>
      <c r="H46">
        <v>6.260647951364824</v>
      </c>
      <c r="I46">
        <v>4.132076180785085</v>
      </c>
      <c r="J46">
        <v>9.485718814477774</v>
      </c>
    </row>
    <row r="47" spans="1:10">
      <c r="A47" t="s">
        <v>1</v>
      </c>
      <c r="B47">
        <v>1</v>
      </c>
      <c r="C47">
        <v>0.3284081604074708</v>
      </c>
      <c r="D47">
        <v>0.03827455322234159</v>
      </c>
      <c r="E47">
        <v>9.4604286750017E-18</v>
      </c>
      <c r="F47">
        <v>0.2533914145673198</v>
      </c>
      <c r="G47">
        <v>0.4034249062476218</v>
      </c>
      <c r="H47">
        <v>1.388755691714336</v>
      </c>
      <c r="I47">
        <v>1.288387471778377</v>
      </c>
      <c r="J47">
        <v>1.496942816904946</v>
      </c>
    </row>
    <row r="48" spans="1:10">
      <c r="A48" t="s">
        <v>1</v>
      </c>
      <c r="B48">
        <v>0</v>
      </c>
      <c r="C48">
        <v>0.2939692218365582</v>
      </c>
      <c r="D48">
        <v>0.03792064644651325</v>
      </c>
      <c r="E48">
        <v>9.029924248598525E-15</v>
      </c>
      <c r="F48">
        <v>0.2196461205309155</v>
      </c>
      <c r="G48">
        <v>0.368292323142201</v>
      </c>
      <c r="H48">
        <v>1.341742606658207</v>
      </c>
      <c r="I48">
        <v>1.245635847629836</v>
      </c>
      <c r="J48">
        <v>1.445264461477625</v>
      </c>
    </row>
    <row r="49" spans="1:10">
      <c r="A49" t="s">
        <v>1</v>
      </c>
      <c r="B49">
        <v>2</v>
      </c>
      <c r="C49">
        <v>0.06928837949471144</v>
      </c>
      <c r="D49">
        <v>0.0461839260476967</v>
      </c>
      <c r="E49">
        <v>0.1335443607892241</v>
      </c>
      <c r="F49">
        <v>-0.02123045222343538</v>
      </c>
      <c r="G49">
        <v>0.1598072112128582</v>
      </c>
      <c r="H49">
        <v>1.071745233937021</v>
      </c>
      <c r="I49">
        <v>0.9789933273821388</v>
      </c>
      <c r="J49">
        <v>1.173284653061135</v>
      </c>
    </row>
    <row r="50" spans="1:10">
      <c r="A50" t="s">
        <v>6</v>
      </c>
      <c r="B50">
        <v>1</v>
      </c>
      <c r="C50">
        <v>0.001520291711931508</v>
      </c>
      <c r="D50">
        <v>0.0002263961579312717</v>
      </c>
      <c r="E50">
        <v>1.8782988067755E-11</v>
      </c>
      <c r="F50">
        <v>0.001076563396147973</v>
      </c>
      <c r="G50">
        <v>0.001964020027715042</v>
      </c>
      <c r="H50">
        <v>1.001521447941237</v>
      </c>
      <c r="I50">
        <v>1.001077143098531</v>
      </c>
      <c r="J50">
        <v>1.00196594997833</v>
      </c>
    </row>
    <row r="51" spans="1:10">
      <c r="A51" t="s">
        <v>6</v>
      </c>
      <c r="B51">
        <v>2</v>
      </c>
      <c r="C51">
        <v>-0.001909948872895166</v>
      </c>
      <c r="D51">
        <v>0.0003280587059507946</v>
      </c>
      <c r="E51">
        <v>5.815700526757493E-09</v>
      </c>
      <c r="F51">
        <v>-0.002552932121373539</v>
      </c>
      <c r="G51">
        <v>-0.001266965624416793</v>
      </c>
      <c r="H51">
        <v>0.9980918739187891</v>
      </c>
      <c r="I51">
        <v>0.9974503238384971</v>
      </c>
      <c r="J51">
        <v>0.9987338366376813</v>
      </c>
    </row>
    <row r="52" spans="1:10">
      <c r="A52" t="s">
        <v>6</v>
      </c>
      <c r="B52">
        <v>0</v>
      </c>
      <c r="C52">
        <v>0.001188573195391197</v>
      </c>
      <c r="D52">
        <v>0.0002318973985526107</v>
      </c>
      <c r="E52">
        <v>2.968641213824857E-07</v>
      </c>
      <c r="F52">
        <v>0.0007340626461195495</v>
      </c>
      <c r="G52">
        <v>0.001643083744662845</v>
      </c>
      <c r="H52">
        <v>1.001189279828446</v>
      </c>
      <c r="I52">
        <v>1.00073433213604</v>
      </c>
      <c r="J52">
        <v>1.001644434346375</v>
      </c>
    </row>
    <row r="53" spans="1:10">
      <c r="A53" t="s">
        <v>0</v>
      </c>
      <c r="B53">
        <v>1</v>
      </c>
      <c r="C53">
        <v>-0.8799534032260056</v>
      </c>
      <c r="D53">
        <v>0.1051719832487819</v>
      </c>
      <c r="E53">
        <v>5.920189386178829E-17</v>
      </c>
      <c r="F53">
        <v>-1.086086702576268</v>
      </c>
      <c r="G53">
        <v>-0.6738201038757432</v>
      </c>
      <c r="H53">
        <v>0.4148022396774814</v>
      </c>
      <c r="I53">
        <v>0.3375347865991122</v>
      </c>
      <c r="J53">
        <v>0.5097575268465893</v>
      </c>
    </row>
    <row r="54" spans="1:10">
      <c r="A54" t="s">
        <v>0</v>
      </c>
      <c r="B54">
        <v>2</v>
      </c>
      <c r="C54">
        <v>0.8819234667750631</v>
      </c>
      <c r="D54">
        <v>0.1529342769478709</v>
      </c>
      <c r="E54">
        <v>8.084700338269825E-09</v>
      </c>
      <c r="F54">
        <v>0.582177791955562</v>
      </c>
      <c r="G54">
        <v>1.181669141594564</v>
      </c>
      <c r="H54">
        <v>2.415541454593611</v>
      </c>
      <c r="I54">
        <v>1.789932289344872</v>
      </c>
      <c r="J54">
        <v>3.259810750157378</v>
      </c>
    </row>
    <row r="55" spans="1:10">
      <c r="A55" t="s">
        <v>0</v>
      </c>
      <c r="B55">
        <v>0</v>
      </c>
      <c r="C55">
        <v>-0.6045169122323523</v>
      </c>
      <c r="D55">
        <v>0.1078220711289386</v>
      </c>
      <c r="E55">
        <v>2.063211217720595E-08</v>
      </c>
      <c r="F55">
        <v>-0.8158442883835879</v>
      </c>
      <c r="G55">
        <v>-0.3931895360811166</v>
      </c>
      <c r="H55">
        <v>0.546338292245436</v>
      </c>
      <c r="I55">
        <v>0.4422657698364702</v>
      </c>
      <c r="J55">
        <v>0.6749008174067501</v>
      </c>
    </row>
    <row r="56" spans="1:10">
      <c r="A56" t="s">
        <v>3</v>
      </c>
      <c r="B56">
        <v>1</v>
      </c>
      <c r="C56">
        <v>0.2010842011497494</v>
      </c>
      <c r="D56">
        <v>0.03991308796481596</v>
      </c>
      <c r="E56">
        <v>4.702943966073341E-07</v>
      </c>
      <c r="F56">
        <v>0.1228559862269311</v>
      </c>
      <c r="G56">
        <v>0.2793124160725678</v>
      </c>
      <c r="H56">
        <v>1.222727722569052</v>
      </c>
      <c r="I56">
        <v>1.130721569741814</v>
      </c>
      <c r="J56">
        <v>1.322220362242032</v>
      </c>
    </row>
    <row r="57" spans="1:10">
      <c r="A57" t="s">
        <v>3</v>
      </c>
      <c r="B57">
        <v>2</v>
      </c>
      <c r="C57">
        <v>0.1829768461090806</v>
      </c>
      <c r="D57">
        <v>0.04719753582949066</v>
      </c>
      <c r="E57">
        <v>0.0001058260300816312</v>
      </c>
      <c r="F57">
        <v>0.09047137572424013</v>
      </c>
      <c r="G57">
        <v>0.2754823164939211</v>
      </c>
      <c r="H57">
        <v>1.200786604876889</v>
      </c>
      <c r="I57">
        <v>1.094690172479807</v>
      </c>
      <c r="J57">
        <v>1.317165812483225</v>
      </c>
    </row>
    <row r="58" spans="1:10">
      <c r="A58" t="s">
        <v>3</v>
      </c>
      <c r="B58">
        <v>0</v>
      </c>
      <c r="C58">
        <v>0.1071328962544999</v>
      </c>
      <c r="D58">
        <v>0.03971438918871</v>
      </c>
      <c r="E58">
        <v>0.00698446853098993</v>
      </c>
      <c r="F58">
        <v>0.02929412377662137</v>
      </c>
      <c r="G58">
        <v>0.1849716687323784</v>
      </c>
      <c r="H58">
        <v>1.113082169101683</v>
      </c>
      <c r="I58">
        <v>1.029727417256112</v>
      </c>
      <c r="J58">
        <v>1.203184351906944</v>
      </c>
    </row>
    <row r="59" spans="1:10">
      <c r="A59" t="s">
        <v>2</v>
      </c>
      <c r="B59">
        <v>1</v>
      </c>
      <c r="C59">
        <v>0.1638441366540395</v>
      </c>
      <c r="D59">
        <v>0.03695555566675534</v>
      </c>
      <c r="E59">
        <v>9.269594367196366E-06</v>
      </c>
      <c r="F59">
        <v>0.09141257851853389</v>
      </c>
      <c r="G59">
        <v>0.236275694789545</v>
      </c>
      <c r="H59">
        <v>1.178030688977975</v>
      </c>
      <c r="I59">
        <v>1.095720982953784</v>
      </c>
      <c r="J59">
        <v>1.266523435950717</v>
      </c>
    </row>
    <row r="60" spans="1:10">
      <c r="A60" t="s">
        <v>2</v>
      </c>
      <c r="B60">
        <v>2</v>
      </c>
      <c r="C60">
        <v>0.164280465969806</v>
      </c>
      <c r="D60">
        <v>0.04647348585085673</v>
      </c>
      <c r="E60">
        <v>0.0004078849676875725</v>
      </c>
      <c r="F60">
        <v>0.07319410746609499</v>
      </c>
      <c r="G60">
        <v>0.2553668244735169</v>
      </c>
      <c r="H60">
        <v>1.178544810457429</v>
      </c>
      <c r="I60">
        <v>1.075939364510267</v>
      </c>
      <c r="J60">
        <v>1.290935080610561</v>
      </c>
    </row>
    <row r="61" spans="1:10">
      <c r="A61" t="s">
        <v>2</v>
      </c>
      <c r="B61">
        <v>0</v>
      </c>
      <c r="C61">
        <v>0.1038065046767754</v>
      </c>
      <c r="D61">
        <v>0.03714135779335047</v>
      </c>
      <c r="E61">
        <v>0.005191523616403169</v>
      </c>
      <c r="F61">
        <v>0.03101078106489247</v>
      </c>
      <c r="G61">
        <v>0.1766022282886584</v>
      </c>
      <c r="H61">
        <v>1.109385773187534</v>
      </c>
      <c r="I61">
        <v>1.031496624458621</v>
      </c>
      <c r="J61">
        <v>1.193156394861545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37</v>
      </c>
      <c r="B1" s="1" t="s">
        <v>38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 s="1" t="s">
        <v>39</v>
      </c>
      <c r="B2" s="1" t="s">
        <v>0</v>
      </c>
      <c r="C2">
        <v>0.05994440266315626</v>
      </c>
      <c r="D2">
        <v>0.01046042559899702</v>
      </c>
      <c r="E2">
        <v>5.730589266741107</v>
      </c>
      <c r="F2">
        <v>1.000823410321122E-08</v>
      </c>
      <c r="G2">
        <v>0.03944234522616127</v>
      </c>
      <c r="H2">
        <v>0.08044646010015125</v>
      </c>
    </row>
    <row r="3" spans="1:8">
      <c r="A3" s="1"/>
      <c r="B3" s="1" t="s">
        <v>1</v>
      </c>
      <c r="C3">
        <v>-0.03153202049547904</v>
      </c>
      <c r="D3">
        <v>0.00384593824506044</v>
      </c>
      <c r="E3">
        <v>-8.198784922242949</v>
      </c>
      <c r="F3">
        <v>2.428289367111611E-16</v>
      </c>
      <c r="G3">
        <v>-0.03906992094256268</v>
      </c>
      <c r="H3">
        <v>-0.0239941200483954</v>
      </c>
    </row>
    <row r="4" spans="1:8">
      <c r="A4" s="1"/>
      <c r="B4" s="1" t="s">
        <v>2</v>
      </c>
      <c r="C4">
        <v>-0.0154852773359827</v>
      </c>
      <c r="D4">
        <v>0.003882084407784386</v>
      </c>
      <c r="E4">
        <v>-3.988907944642188</v>
      </c>
      <c r="F4">
        <v>6.637817274700119E-05</v>
      </c>
      <c r="G4">
        <v>-0.0230940229601846</v>
      </c>
      <c r="H4">
        <v>-0.0078765317117808</v>
      </c>
    </row>
    <row r="5" spans="1:8">
      <c r="A5" s="1"/>
      <c r="B5" s="1" t="s">
        <v>3</v>
      </c>
      <c r="C5">
        <v>-0.01772997516231454</v>
      </c>
      <c r="D5">
        <v>0.004092411802822494</v>
      </c>
      <c r="E5">
        <v>-4.332402508976823</v>
      </c>
      <c r="F5">
        <v>1.474909794893088E-05</v>
      </c>
      <c r="G5">
        <v>-0.02575095490575326</v>
      </c>
      <c r="H5">
        <v>-0.009708995418875817</v>
      </c>
    </row>
    <row r="6" spans="1:8">
      <c r="A6" s="1"/>
      <c r="B6" s="1" t="s">
        <v>4</v>
      </c>
      <c r="C6">
        <v>0.0175657336708876</v>
      </c>
      <c r="D6">
        <v>0.007571752290212385</v>
      </c>
      <c r="E6">
        <v>2.319903372115583</v>
      </c>
      <c r="F6">
        <v>0.02034610512465676</v>
      </c>
      <c r="G6">
        <v>0.002725371882212658</v>
      </c>
      <c r="H6">
        <v>0.03240609545956255</v>
      </c>
    </row>
    <row r="7" spans="1:8">
      <c r="A7" s="1"/>
      <c r="B7" s="1" t="s">
        <v>5</v>
      </c>
      <c r="C7">
        <v>-0.02020293904135553</v>
      </c>
      <c r="D7">
        <v>0.007405759216624222</v>
      </c>
      <c r="E7">
        <v>-2.728003767122835</v>
      </c>
      <c r="F7">
        <v>0.006371888034372715</v>
      </c>
      <c r="G7">
        <v>-0.03471796038411457</v>
      </c>
      <c r="H7">
        <v>-0.005687917698596494</v>
      </c>
    </row>
    <row r="8" spans="1:8">
      <c r="A8" s="1"/>
      <c r="B8" s="1" t="s">
        <v>6</v>
      </c>
      <c r="C8">
        <v>-0.0001051186679368106</v>
      </c>
      <c r="D8">
        <v>2.274182934884723E-05</v>
      </c>
      <c r="E8">
        <v>-4.622260871117611</v>
      </c>
      <c r="F8">
        <v>3.795802506940287E-06</v>
      </c>
      <c r="G8">
        <v>-0.0001496918344031072</v>
      </c>
      <c r="H8">
        <v>-6.054550147051406E-05</v>
      </c>
    </row>
    <row r="9" spans="1:8">
      <c r="A9" s="1"/>
      <c r="B9" s="1" t="s">
        <v>7</v>
      </c>
      <c r="C9">
        <v>-0.04878281072117738</v>
      </c>
      <c r="D9">
        <v>0.0225986541227498</v>
      </c>
      <c r="E9">
        <v>-2.158660000555888</v>
      </c>
      <c r="F9">
        <v>0.03087655413738797</v>
      </c>
      <c r="G9">
        <v>-0.09307535890084459</v>
      </c>
      <c r="H9">
        <v>-0.004490262541510172</v>
      </c>
    </row>
    <row r="10" spans="1:8">
      <c r="A10" s="1"/>
      <c r="B10" s="1" t="s">
        <v>8</v>
      </c>
      <c r="C10">
        <v>0.05368345503978979</v>
      </c>
      <c r="D10">
        <v>0.03275707803466994</v>
      </c>
      <c r="E10">
        <v>1.638835276546079</v>
      </c>
      <c r="F10">
        <v>0.1012475701846151</v>
      </c>
      <c r="G10">
        <v>-0.0105192381469314</v>
      </c>
      <c r="H10">
        <v>0.117886148226511</v>
      </c>
    </row>
    <row r="11" spans="1:8">
      <c r="A11" s="1"/>
      <c r="B11" s="1" t="s">
        <v>9</v>
      </c>
      <c r="C11">
        <v>0.4376391558112364</v>
      </c>
      <c r="D11">
        <v>151998.2998601936</v>
      </c>
      <c r="E11">
        <v>2.879237177085351E-06</v>
      </c>
      <c r="F11">
        <v>0.9999977027011095</v>
      </c>
      <c r="G11">
        <v>-297910.7557981431</v>
      </c>
      <c r="H11">
        <v>297911.6310764548</v>
      </c>
    </row>
    <row r="12" spans="1:8">
      <c r="A12" s="1"/>
      <c r="B12" s="1" t="s">
        <v>10</v>
      </c>
      <c r="C12">
        <v>-0.03907224910237195</v>
      </c>
      <c r="D12">
        <v>0.01914233301615749</v>
      </c>
      <c r="E12">
        <v>-2.04114352568165</v>
      </c>
      <c r="F12">
        <v>0.04123656314224387</v>
      </c>
      <c r="G12">
        <v>-0.07659053239411262</v>
      </c>
      <c r="H12">
        <v>-0.001553965810631282</v>
      </c>
    </row>
    <row r="13" spans="1:8">
      <c r="A13" s="1"/>
      <c r="B13" s="1" t="s">
        <v>11</v>
      </c>
      <c r="C13">
        <v>-0.01195958553538386</v>
      </c>
      <c r="D13">
        <v>0.01297304870225317</v>
      </c>
      <c r="E13">
        <v>-0.9218793369138213</v>
      </c>
      <c r="F13">
        <v>0.3565915183468343</v>
      </c>
      <c r="G13">
        <v>-0.03738629376148416</v>
      </c>
      <c r="H13">
        <v>0.01346712269071644</v>
      </c>
    </row>
    <row r="14" spans="1:8">
      <c r="A14" s="1"/>
      <c r="B14" s="1" t="s">
        <v>12</v>
      </c>
      <c r="C14">
        <v>-0.09615270928855872</v>
      </c>
      <c r="D14">
        <v>0.01904985247073682</v>
      </c>
      <c r="E14">
        <v>-5.047425403228842</v>
      </c>
      <c r="F14">
        <v>4.478035248430306E-07</v>
      </c>
      <c r="G14">
        <v>-0.1334897340420043</v>
      </c>
      <c r="H14">
        <v>-0.0588156845351132</v>
      </c>
    </row>
    <row r="15" spans="1:8">
      <c r="A15" s="1"/>
      <c r="B15" s="1" t="s">
        <v>13</v>
      </c>
      <c r="C15">
        <v>-0.0701736730800795</v>
      </c>
      <c r="D15">
        <v>0.01390838412623047</v>
      </c>
      <c r="E15">
        <v>-5.045422418822593</v>
      </c>
      <c r="F15">
        <v>4.525204843595216E-07</v>
      </c>
      <c r="G15">
        <v>-0.09743360505063982</v>
      </c>
      <c r="H15">
        <v>-0.04291374110951919</v>
      </c>
    </row>
    <row r="16" spans="1:8">
      <c r="A16" s="1"/>
      <c r="B16" s="1" t="s">
        <v>14</v>
      </c>
      <c r="C16">
        <v>-0.09878513644194721</v>
      </c>
      <c r="D16">
        <v>0.02009315374095158</v>
      </c>
      <c r="E16">
        <v>-4.916357965281207</v>
      </c>
      <c r="F16">
        <v>8.816911385793928E-07</v>
      </c>
      <c r="G16">
        <v>-0.1381669941100386</v>
      </c>
      <c r="H16">
        <v>-0.05940327877385585</v>
      </c>
    </row>
    <row r="17" spans="1:8">
      <c r="A17" s="1"/>
      <c r="B17" s="1" t="s">
        <v>15</v>
      </c>
      <c r="C17">
        <v>0.02131503088947015</v>
      </c>
      <c r="D17">
        <v>0.01790456435236563</v>
      </c>
      <c r="E17">
        <v>1.190480285919602</v>
      </c>
      <c r="F17">
        <v>0.2338576739315765</v>
      </c>
      <c r="G17">
        <v>-0.01377727040004621</v>
      </c>
      <c r="H17">
        <v>0.0564073321789865</v>
      </c>
    </row>
    <row r="18" spans="1:8">
      <c r="A18" s="1"/>
      <c r="B18" s="1" t="s">
        <v>16</v>
      </c>
      <c r="C18">
        <v>-0.05011724588863324</v>
      </c>
      <c r="D18">
        <v>0.0124250840867073</v>
      </c>
      <c r="E18">
        <v>-4.033553860794397</v>
      </c>
      <c r="F18">
        <v>5.493958071576731E-05</v>
      </c>
      <c r="G18">
        <v>-0.07446996320346129</v>
      </c>
      <c r="H18">
        <v>-0.02576452857380519</v>
      </c>
    </row>
    <row r="19" spans="1:8">
      <c r="A19" s="1"/>
      <c r="B19" s="1" t="s">
        <v>17</v>
      </c>
      <c r="C19">
        <v>-0.09459000101504141</v>
      </c>
      <c r="D19">
        <v>0.01856204605344702</v>
      </c>
      <c r="E19">
        <v>-5.09588225040934</v>
      </c>
      <c r="F19">
        <v>3.471208434983492E-07</v>
      </c>
      <c r="G19">
        <v>-0.1309709427591714</v>
      </c>
      <c r="H19">
        <v>-0.0582090592709114</v>
      </c>
    </row>
    <row r="20" spans="1:8">
      <c r="A20" s="1"/>
      <c r="B20" s="1" t="s">
        <v>18</v>
      </c>
      <c r="C20">
        <v>-0.0855413073953764</v>
      </c>
      <c r="D20">
        <v>0.01804721742315429</v>
      </c>
      <c r="E20">
        <v>-4.739861297710543</v>
      </c>
      <c r="F20">
        <v>2.138645676904096E-06</v>
      </c>
      <c r="G20">
        <v>-0.1209132035659226</v>
      </c>
      <c r="H20">
        <v>-0.05016941122483023</v>
      </c>
    </row>
    <row r="21" spans="1:8">
      <c r="A21" s="1"/>
      <c r="B21" s="1" t="s">
        <v>19</v>
      </c>
      <c r="C21">
        <v>-0.2300477770143048</v>
      </c>
      <c r="D21">
        <v>0.02291968394213372</v>
      </c>
      <c r="E21">
        <v>-10.0371269339977</v>
      </c>
      <c r="F21">
        <v>1.046786733174487E-23</v>
      </c>
      <c r="G21">
        <v>-0.274969532077928</v>
      </c>
      <c r="H21">
        <v>-0.1851260219506818</v>
      </c>
    </row>
    <row r="22" spans="1:8">
      <c r="A22" s="1" t="s">
        <v>40</v>
      </c>
      <c r="B22" s="1" t="s">
        <v>0</v>
      </c>
      <c r="C22">
        <v>-0.04298757451434488</v>
      </c>
      <c r="D22">
        <v>0.01817974459701277</v>
      </c>
      <c r="E22">
        <v>-2.364586272648102</v>
      </c>
      <c r="F22">
        <v>0.01805022271006761</v>
      </c>
      <c r="G22">
        <v>-0.07861921917262654</v>
      </c>
      <c r="H22">
        <v>-0.007355929856063217</v>
      </c>
    </row>
    <row r="23" spans="1:8">
      <c r="A23" s="1"/>
      <c r="B23" s="1" t="s">
        <v>1</v>
      </c>
      <c r="C23">
        <v>0.01757023083892652</v>
      </c>
      <c r="D23">
        <v>0.005887280348198998</v>
      </c>
      <c r="E23">
        <v>2.984439299599772</v>
      </c>
      <c r="F23">
        <v>0.002840985636685176</v>
      </c>
      <c r="G23">
        <v>0.006031373389566056</v>
      </c>
      <c r="H23">
        <v>0.02910908828828699</v>
      </c>
    </row>
    <row r="24" spans="1:8">
      <c r="A24" s="1"/>
      <c r="B24" s="1" t="s">
        <v>2</v>
      </c>
      <c r="C24">
        <v>-0.005556406653487708</v>
      </c>
      <c r="D24">
        <v>0.005266948757846934</v>
      </c>
      <c r="E24">
        <v>-1.054957416323735</v>
      </c>
      <c r="F24">
        <v>0.2914448008753415</v>
      </c>
      <c r="G24">
        <v>-0.01587943652728567</v>
      </c>
      <c r="H24">
        <v>0.004766623220310257</v>
      </c>
    </row>
    <row r="25" spans="1:8">
      <c r="A25" s="1"/>
      <c r="B25" s="1" t="s">
        <v>3</v>
      </c>
      <c r="C25">
        <v>-0.01077580551336926</v>
      </c>
      <c r="D25">
        <v>0.005861977888173386</v>
      </c>
      <c r="E25">
        <v>-1.838254206845369</v>
      </c>
      <c r="F25">
        <v>0.066024955511813</v>
      </c>
      <c r="G25">
        <v>-0.02226507105235926</v>
      </c>
      <c r="H25">
        <v>0.0007134600256207442</v>
      </c>
    </row>
    <row r="26" spans="1:8">
      <c r="A26" s="1"/>
      <c r="B26" s="1" t="s">
        <v>4</v>
      </c>
      <c r="C26">
        <v>0.03535374600916024</v>
      </c>
      <c r="D26">
        <v>0.01070339172226388</v>
      </c>
      <c r="E26">
        <v>3.303041402812692</v>
      </c>
      <c r="F26">
        <v>0.0009564226554542744</v>
      </c>
      <c r="G26">
        <v>0.0143754837210989</v>
      </c>
      <c r="H26">
        <v>0.05633200829722158</v>
      </c>
    </row>
    <row r="27" spans="1:8">
      <c r="A27" s="1"/>
      <c r="B27" s="1" t="s">
        <v>5</v>
      </c>
      <c r="C27">
        <v>-0.04246208426547578</v>
      </c>
      <c r="D27">
        <v>0.01038298067479767</v>
      </c>
      <c r="E27">
        <v>-4.089585215981656</v>
      </c>
      <c r="F27">
        <v>4.321452821812024E-05</v>
      </c>
      <c r="G27">
        <v>-0.0628123524402546</v>
      </c>
      <c r="H27">
        <v>-0.02211181609069697</v>
      </c>
    </row>
    <row r="28" spans="1:8">
      <c r="A28" s="1"/>
      <c r="B28" s="1" t="s">
        <v>6</v>
      </c>
      <c r="C28">
        <v>0.0001206817392596993</v>
      </c>
      <c r="D28">
        <v>3.888565755972387E-05</v>
      </c>
      <c r="E28">
        <v>3.103502597952629</v>
      </c>
      <c r="F28">
        <v>0.001912445558608332</v>
      </c>
      <c r="G28">
        <v>4.446725092748286E-05</v>
      </c>
      <c r="H28">
        <v>0.0001968962275919158</v>
      </c>
    </row>
    <row r="29" spans="1:8">
      <c r="A29" s="1"/>
      <c r="B29" s="1" t="s">
        <v>7</v>
      </c>
      <c r="C29">
        <v>0.03863379450712664</v>
      </c>
      <c r="D29">
        <v>0.03344587986962629</v>
      </c>
      <c r="E29">
        <v>1.155113713788458</v>
      </c>
      <c r="F29">
        <v>0.2480438630522187</v>
      </c>
      <c r="G29">
        <v>-0.0269189254685941</v>
      </c>
      <c r="H29">
        <v>0.1041865144828474</v>
      </c>
    </row>
    <row r="30" spans="1:8">
      <c r="A30" s="1"/>
      <c r="B30" s="1" t="s">
        <v>8</v>
      </c>
      <c r="C30">
        <v>-0.1059849343880008</v>
      </c>
      <c r="D30">
        <v>0.07163294406025461</v>
      </c>
      <c r="E30">
        <v>-1.479555751594557</v>
      </c>
      <c r="F30">
        <v>0.1389918424881544</v>
      </c>
      <c r="G30">
        <v>-0.2463829248526722</v>
      </c>
      <c r="H30">
        <v>0.03441305607667058</v>
      </c>
    </row>
    <row r="31" spans="1:8">
      <c r="A31" s="1"/>
      <c r="B31" s="1" t="s">
        <v>9</v>
      </c>
      <c r="C31">
        <v>1.329457287240581</v>
      </c>
      <c r="D31">
        <v>369578.9841633738</v>
      </c>
      <c r="E31">
        <v>3.597221011498016E-06</v>
      </c>
      <c r="F31">
        <v>0.9999971298328931</v>
      </c>
      <c r="G31">
        <v>-724360.1689458244</v>
      </c>
      <c r="H31">
        <v>724362.8278603988</v>
      </c>
    </row>
    <row r="32" spans="1:8">
      <c r="A32" s="1"/>
      <c r="B32" s="1" t="s">
        <v>10</v>
      </c>
      <c r="C32">
        <v>0.05387173620259168</v>
      </c>
      <c r="D32">
        <v>0.02957093268014429</v>
      </c>
      <c r="E32">
        <v>1.821780083343953</v>
      </c>
      <c r="F32">
        <v>0.06848836093463709</v>
      </c>
      <c r="G32">
        <v>-0.004086226839749622</v>
      </c>
      <c r="H32">
        <v>0.111829699244933</v>
      </c>
    </row>
    <row r="33" spans="1:8">
      <c r="A33" s="1"/>
      <c r="B33" s="1" t="s">
        <v>11</v>
      </c>
      <c r="C33">
        <v>-0.0110995671531844</v>
      </c>
      <c r="D33">
        <v>0.02249638421675219</v>
      </c>
      <c r="E33">
        <v>-0.4933933847430904</v>
      </c>
      <c r="F33">
        <v>0.6217346556751258</v>
      </c>
      <c r="G33">
        <v>-0.05519167000039402</v>
      </c>
      <c r="H33">
        <v>0.03299253569402522</v>
      </c>
    </row>
    <row r="34" spans="1:8">
      <c r="A34" s="1"/>
      <c r="B34" s="1" t="s">
        <v>12</v>
      </c>
      <c r="C34">
        <v>0.1528938885027465</v>
      </c>
      <c r="D34">
        <v>0.02519286993559023</v>
      </c>
      <c r="E34">
        <v>6.068934936497715</v>
      </c>
      <c r="F34">
        <v>1.287612934116955E-09</v>
      </c>
      <c r="G34">
        <v>0.1035167707617877</v>
      </c>
      <c r="H34">
        <v>0.2022710062437053</v>
      </c>
    </row>
    <row r="35" spans="1:8">
      <c r="A35" s="1"/>
      <c r="B35" s="1" t="s">
        <v>13</v>
      </c>
      <c r="C35">
        <v>0.07460275077733255</v>
      </c>
      <c r="D35">
        <v>0.02138142607867771</v>
      </c>
      <c r="E35">
        <v>3.489138212896331</v>
      </c>
      <c r="F35">
        <v>0.0004845805239827697</v>
      </c>
      <c r="G35">
        <v>0.03269592572501876</v>
      </c>
      <c r="H35">
        <v>0.1165095758296464</v>
      </c>
    </row>
    <row r="36" spans="1:8">
      <c r="A36" s="1"/>
      <c r="B36" s="1" t="s">
        <v>14</v>
      </c>
      <c r="C36">
        <v>0.06245463269856136</v>
      </c>
      <c r="D36">
        <v>0.02742290835283211</v>
      </c>
      <c r="E36">
        <v>2.277462036301898</v>
      </c>
      <c r="F36">
        <v>0.02275864918508167</v>
      </c>
      <c r="G36">
        <v>0.008706719975667798</v>
      </c>
      <c r="H36">
        <v>0.1162025454214549</v>
      </c>
    </row>
    <row r="37" spans="1:8">
      <c r="A37" s="1"/>
      <c r="B37" s="1" t="s">
        <v>15</v>
      </c>
      <c r="C37">
        <v>-0.02362660897303009</v>
      </c>
      <c r="D37">
        <v>0.03258988123230715</v>
      </c>
      <c r="E37">
        <v>-0.7249676304315112</v>
      </c>
      <c r="F37">
        <v>0.4684718888159969</v>
      </c>
      <c r="G37">
        <v>-0.08750160244878993</v>
      </c>
      <c r="H37">
        <v>0.04024838450272974</v>
      </c>
    </row>
    <row r="38" spans="1:8">
      <c r="A38" s="1"/>
      <c r="B38" s="1" t="s">
        <v>16</v>
      </c>
      <c r="C38">
        <v>0.07991231793370235</v>
      </c>
      <c r="D38">
        <v>0.01921532062571916</v>
      </c>
      <c r="E38">
        <v>4.158781395858782</v>
      </c>
      <c r="F38">
        <v>3.19949911946478E-05</v>
      </c>
      <c r="G38">
        <v>0.04225098155590314</v>
      </c>
      <c r="H38">
        <v>0.1175736543115015</v>
      </c>
    </row>
    <row r="39" spans="1:8">
      <c r="A39" s="1"/>
      <c r="B39" s="1" t="s">
        <v>17</v>
      </c>
      <c r="C39">
        <v>0.03561191049326759</v>
      </c>
      <c r="D39">
        <v>0.02630301875191329</v>
      </c>
      <c r="E39">
        <v>1.353909634067275</v>
      </c>
      <c r="F39">
        <v>0.175765209522827</v>
      </c>
      <c r="G39">
        <v>-0.01594105894516415</v>
      </c>
      <c r="H39">
        <v>0.08716487993169933</v>
      </c>
    </row>
    <row r="40" spans="1:8">
      <c r="A40" s="1"/>
      <c r="B40" s="1" t="s">
        <v>18</v>
      </c>
      <c r="C40">
        <v>0.1002284119263936</v>
      </c>
      <c r="D40">
        <v>0.0254756392725791</v>
      </c>
      <c r="E40">
        <v>3.934284468938734</v>
      </c>
      <c r="F40">
        <v>8.344490845564836E-05</v>
      </c>
      <c r="G40">
        <v>0.05029707646900439</v>
      </c>
      <c r="H40">
        <v>0.1501597473837828</v>
      </c>
    </row>
    <row r="41" spans="1:8">
      <c r="A41" s="1"/>
      <c r="B41" s="1" t="s">
        <v>19</v>
      </c>
      <c r="C41">
        <v>0.02423263043955636</v>
      </c>
      <c r="D41">
        <v>0.02287863467268489</v>
      </c>
      <c r="E41">
        <v>1.059181668235125</v>
      </c>
      <c r="F41">
        <v>0.289517052053118</v>
      </c>
      <c r="G41">
        <v>-0.02060866953435535</v>
      </c>
      <c r="H41">
        <v>0.06907393041346807</v>
      </c>
    </row>
    <row r="42" spans="1:8">
      <c r="A42" s="1" t="s">
        <v>41</v>
      </c>
      <c r="B42" s="1" t="s">
        <v>0</v>
      </c>
      <c r="C42">
        <v>-0.1471714307004039</v>
      </c>
      <c r="D42">
        <v>0.01780981116511499</v>
      </c>
      <c r="E42">
        <v>-8.263503152053417</v>
      </c>
      <c r="F42">
        <v>1.414584646190193E-16</v>
      </c>
      <c r="G42">
        <v>-0.1820780191554886</v>
      </c>
      <c r="H42">
        <v>-0.1122648422453192</v>
      </c>
    </row>
    <row r="43" spans="1:8">
      <c r="A43" s="1"/>
      <c r="B43" s="1" t="s">
        <v>1</v>
      </c>
      <c r="C43">
        <v>0.03044406394553068</v>
      </c>
      <c r="D43">
        <v>0.005924377073664651</v>
      </c>
      <c r="E43">
        <v>5.13877890738289</v>
      </c>
      <c r="F43">
        <v>2.765295237512673E-07</v>
      </c>
      <c r="G43">
        <v>0.01883249825031316</v>
      </c>
      <c r="H43">
        <v>0.04205562964074819</v>
      </c>
    </row>
    <row r="44" spans="1:8">
      <c r="A44" s="1"/>
      <c r="B44" s="1" t="s">
        <v>2</v>
      </c>
      <c r="C44">
        <v>0.01651644757610131</v>
      </c>
      <c r="D44">
        <v>0.005205541136759436</v>
      </c>
      <c r="E44">
        <v>3.172858909800713</v>
      </c>
      <c r="F44">
        <v>0.001509458594238411</v>
      </c>
      <c r="G44">
        <v>0.006313774428011122</v>
      </c>
      <c r="H44">
        <v>0.0267191207241915</v>
      </c>
    </row>
    <row r="45" spans="1:8">
      <c r="A45" s="1"/>
      <c r="B45" s="1" t="s">
        <v>3</v>
      </c>
      <c r="C45">
        <v>0.02385356772136862</v>
      </c>
      <c r="D45">
        <v>0.005804748674572263</v>
      </c>
      <c r="E45">
        <v>4.109319637878436</v>
      </c>
      <c r="F45">
        <v>3.968265036679922E-05</v>
      </c>
      <c r="G45">
        <v>0.01247646937990037</v>
      </c>
      <c r="H45">
        <v>0.03523066606283687</v>
      </c>
    </row>
    <row r="46" spans="1:8">
      <c r="A46" s="1"/>
      <c r="B46" s="1" t="s">
        <v>4</v>
      </c>
      <c r="C46">
        <v>-0.01902587966404333</v>
      </c>
      <c r="D46">
        <v>0.0107043298162982</v>
      </c>
      <c r="E46">
        <v>-1.777400359532541</v>
      </c>
      <c r="F46">
        <v>0.07550239167686458</v>
      </c>
      <c r="G46">
        <v>-0.04000598058262607</v>
      </c>
      <c r="H46">
        <v>0.001954221254539406</v>
      </c>
    </row>
    <row r="47" spans="1:8">
      <c r="A47" s="1"/>
      <c r="B47" s="1" t="s">
        <v>5</v>
      </c>
      <c r="C47">
        <v>0.04656104894320748</v>
      </c>
      <c r="D47">
        <v>0.01031617283655848</v>
      </c>
      <c r="E47">
        <v>4.51340334064628</v>
      </c>
      <c r="F47">
        <v>6.379553161950176E-06</v>
      </c>
      <c r="G47">
        <v>0.02634172172526244</v>
      </c>
      <c r="H47">
        <v>0.06678037616115251</v>
      </c>
    </row>
    <row r="48" spans="1:8">
      <c r="A48" s="1"/>
      <c r="B48" s="1" t="s">
        <v>6</v>
      </c>
      <c r="C48">
        <v>0.0002479520764197027</v>
      </c>
      <c r="D48">
        <v>3.803283270169723E-05</v>
      </c>
      <c r="E48">
        <v>6.519421741853</v>
      </c>
      <c r="F48">
        <v>7.057895077922522E-11</v>
      </c>
      <c r="G48">
        <v>0.0001734090940943389</v>
      </c>
      <c r="H48">
        <v>0.0003224950587450664</v>
      </c>
    </row>
    <row r="49" spans="1:8">
      <c r="A49" s="1"/>
      <c r="B49" s="1" t="s">
        <v>7</v>
      </c>
      <c r="C49">
        <v>0.09247731011793643</v>
      </c>
      <c r="D49">
        <v>0.03189581950565282</v>
      </c>
      <c r="E49">
        <v>2.899355199246312</v>
      </c>
      <c r="F49">
        <v>0.003739310176622744</v>
      </c>
      <c r="G49">
        <v>0.02996265262946676</v>
      </c>
      <c r="H49">
        <v>0.1549919676064061</v>
      </c>
    </row>
    <row r="50" spans="1:8">
      <c r="A50" s="1"/>
      <c r="B50" s="1" t="s">
        <v>8</v>
      </c>
      <c r="C50">
        <v>-0.2148081339228633</v>
      </c>
      <c r="D50">
        <v>0.07181823023997987</v>
      </c>
      <c r="E50">
        <v>-2.990997316490314</v>
      </c>
      <c r="F50">
        <v>0.002780679368989692</v>
      </c>
      <c r="G50">
        <v>-0.3555692786266292</v>
      </c>
      <c r="H50">
        <v>-0.07404698921909736</v>
      </c>
    </row>
    <row r="51" spans="1:8">
      <c r="A51" s="1"/>
      <c r="B51" s="1" t="s">
        <v>9</v>
      </c>
      <c r="C51">
        <v>1.268041259148284</v>
      </c>
      <c r="D51">
        <v>387717.2384120607</v>
      </c>
      <c r="E51">
        <v>3.270531030143744E-06</v>
      </c>
      <c r="F51">
        <v>0.9999973904937854</v>
      </c>
      <c r="G51">
        <v>-759910.5554317094</v>
      </c>
      <c r="H51">
        <v>759913.0915142277</v>
      </c>
    </row>
    <row r="52" spans="1:8">
      <c r="A52" s="1"/>
      <c r="B52" s="1" t="s">
        <v>10</v>
      </c>
      <c r="C52">
        <v>-0.05565756127196744</v>
      </c>
      <c r="D52">
        <v>0.02969934223956773</v>
      </c>
      <c r="E52">
        <v>-1.874033465893267</v>
      </c>
      <c r="F52">
        <v>0.0609258126321675</v>
      </c>
      <c r="G52">
        <v>-0.1138672024260493</v>
      </c>
      <c r="H52">
        <v>0.002552079882114471</v>
      </c>
    </row>
    <row r="53" spans="1:8">
      <c r="A53" s="1"/>
      <c r="B53" s="1" t="s">
        <v>11</v>
      </c>
      <c r="C53">
        <v>0.001619307099857781</v>
      </c>
      <c r="D53">
        <v>0.02174199005449587</v>
      </c>
      <c r="E53">
        <v>0.07447832952728888</v>
      </c>
      <c r="F53">
        <v>0.9406297838011338</v>
      </c>
      <c r="G53">
        <v>-0.04099421035918217</v>
      </c>
      <c r="H53">
        <v>0.04423282455889774</v>
      </c>
    </row>
    <row r="54" spans="1:8">
      <c r="A54" s="1"/>
      <c r="B54" s="1" t="s">
        <v>12</v>
      </c>
      <c r="C54">
        <v>-0.09607313106951426</v>
      </c>
      <c r="D54">
        <v>0.02664369652541576</v>
      </c>
      <c r="E54">
        <v>-3.605848421891042</v>
      </c>
      <c r="F54">
        <v>0.0003111347194366744</v>
      </c>
      <c r="G54">
        <v>-0.1482938166743441</v>
      </c>
      <c r="H54">
        <v>-0.04385244546468439</v>
      </c>
    </row>
    <row r="55" spans="1:8">
      <c r="A55" s="1"/>
      <c r="B55" s="1" t="s">
        <v>13</v>
      </c>
      <c r="C55">
        <v>-0.02502676974450399</v>
      </c>
      <c r="D55">
        <v>0.02140413353452405</v>
      </c>
      <c r="E55">
        <v>-1.169249374385408</v>
      </c>
      <c r="F55">
        <v>0.2423031735755282</v>
      </c>
      <c r="G55">
        <v>-0.06697810059245714</v>
      </c>
      <c r="H55">
        <v>0.01692456110344917</v>
      </c>
    </row>
    <row r="56" spans="1:8">
      <c r="A56" s="1"/>
      <c r="B56" s="1" t="s">
        <v>14</v>
      </c>
      <c r="C56">
        <v>0.01872562066003276</v>
      </c>
      <c r="D56">
        <v>0.02721031777139388</v>
      </c>
      <c r="E56">
        <v>0.6881808884907235</v>
      </c>
      <c r="F56">
        <v>0.4913388774596001</v>
      </c>
      <c r="G56">
        <v>-0.03460562217978942</v>
      </c>
      <c r="H56">
        <v>0.07205686349985495</v>
      </c>
    </row>
    <row r="57" spans="1:8">
      <c r="A57" s="1"/>
      <c r="B57" s="1" t="s">
        <v>15</v>
      </c>
      <c r="C57">
        <v>-0.0632229565783971</v>
      </c>
      <c r="D57">
        <v>0.03175789107429303</v>
      </c>
      <c r="E57">
        <v>-1.990779439053307</v>
      </c>
      <c r="F57">
        <v>0.0465051407686763</v>
      </c>
      <c r="G57">
        <v>-0.1254672793089575</v>
      </c>
      <c r="H57">
        <v>-0.000978633847836724</v>
      </c>
    </row>
    <row r="58" spans="1:8">
      <c r="A58" s="1"/>
      <c r="B58" s="1" t="s">
        <v>16</v>
      </c>
      <c r="C58">
        <v>-0.02537027441536902</v>
      </c>
      <c r="D58">
        <v>0.01911369334946388</v>
      </c>
      <c r="E58">
        <v>-1.327335013255334</v>
      </c>
      <c r="F58">
        <v>0.1843978865233201</v>
      </c>
      <c r="G58">
        <v>-0.06283242499186098</v>
      </c>
      <c r="H58">
        <v>0.01209187616112293</v>
      </c>
    </row>
    <row r="59" spans="1:8">
      <c r="A59" s="1"/>
      <c r="B59" s="1" t="s">
        <v>17</v>
      </c>
      <c r="C59">
        <v>0.07899641155063231</v>
      </c>
      <c r="D59">
        <v>0.02535857213998178</v>
      </c>
      <c r="E59">
        <v>3.115175851170344</v>
      </c>
      <c r="F59">
        <v>0.001838352777390152</v>
      </c>
      <c r="G59">
        <v>0.02929452345690722</v>
      </c>
      <c r="H59">
        <v>0.1286982996443574</v>
      </c>
    </row>
    <row r="60" spans="1:8">
      <c r="A60" s="1"/>
      <c r="B60" s="1" t="s">
        <v>18</v>
      </c>
      <c r="C60">
        <v>-0.06325644549937971</v>
      </c>
      <c r="D60">
        <v>0.02615769216244214</v>
      </c>
      <c r="E60">
        <v>-2.418273183526675</v>
      </c>
      <c r="F60">
        <v>0.01559436427375841</v>
      </c>
      <c r="G60">
        <v>-0.114524580056452</v>
      </c>
      <c r="H60">
        <v>-0.01198831094230747</v>
      </c>
    </row>
    <row r="61" spans="1:8">
      <c r="A61" s="1"/>
      <c r="B61" s="1" t="s">
        <v>19</v>
      </c>
      <c r="C61">
        <v>0.1683592533726999</v>
      </c>
      <c r="D61">
        <v>0.02146397315243598</v>
      </c>
      <c r="E61">
        <v>7.843806557948127</v>
      </c>
      <c r="F61">
        <v>4.370902526880332E-15</v>
      </c>
      <c r="G61">
        <v>0.1262906390287907</v>
      </c>
      <c r="H61">
        <v>0.210427867716609</v>
      </c>
    </row>
    <row r="62" spans="1:8">
      <c r="A62" s="1" t="s">
        <v>42</v>
      </c>
      <c r="B62" s="1" t="s">
        <v>0</v>
      </c>
      <c r="C62">
        <v>0.1302146025515925</v>
      </c>
      <c r="D62">
        <v>0.01090687287382503</v>
      </c>
      <c r="E62">
        <v>11.93876595592209</v>
      </c>
      <c r="F62">
        <v>7.431760878643538E-33</v>
      </c>
      <c r="G62">
        <v>0.1088375245349385</v>
      </c>
      <c r="H62">
        <v>0.1515916805682464</v>
      </c>
    </row>
    <row r="63" spans="1:8">
      <c r="A63" s="1"/>
      <c r="B63" s="1" t="s">
        <v>1</v>
      </c>
      <c r="C63">
        <v>-0.01648227428897816</v>
      </c>
      <c r="D63">
        <v>0.003287635553197479</v>
      </c>
      <c r="E63">
        <v>-5.013412837973441</v>
      </c>
      <c r="F63">
        <v>5.347299594698717E-07</v>
      </c>
      <c r="G63">
        <v>-0.02292592156753863</v>
      </c>
      <c r="H63">
        <v>-0.01003862701041768</v>
      </c>
    </row>
    <row r="64" spans="1:8">
      <c r="A64" s="1"/>
      <c r="B64" s="1" t="s">
        <v>2</v>
      </c>
      <c r="C64">
        <v>0.004525236413369098</v>
      </c>
      <c r="D64">
        <v>0.003128528598655638</v>
      </c>
      <c r="E64">
        <v>1.446442399572003</v>
      </c>
      <c r="F64">
        <v>0.1480531568333041</v>
      </c>
      <c r="G64">
        <v>-0.001606566964599518</v>
      </c>
      <c r="H64">
        <v>0.01065703979133771</v>
      </c>
    </row>
    <row r="65" spans="1:8">
      <c r="A65" s="1"/>
      <c r="B65" s="1" t="s">
        <v>3</v>
      </c>
      <c r="C65">
        <v>0.004652212954315171</v>
      </c>
      <c r="D65">
        <v>0.003241297302312074</v>
      </c>
      <c r="E65">
        <v>1.435293501462105</v>
      </c>
      <c r="F65">
        <v>0.1512034788145861</v>
      </c>
      <c r="G65">
        <v>-0.00170061302140333</v>
      </c>
      <c r="H65">
        <v>0.01100503893003367</v>
      </c>
    </row>
    <row r="66" spans="1:8">
      <c r="A66" s="1"/>
      <c r="B66" s="1" t="s">
        <v>4</v>
      </c>
      <c r="C66">
        <v>-0.03389360001600452</v>
      </c>
      <c r="D66">
        <v>0.006756363741868153</v>
      </c>
      <c r="E66">
        <v>-5.016544595722557</v>
      </c>
      <c r="F66">
        <v>5.260906925031816E-07</v>
      </c>
      <c r="G66">
        <v>-0.04713582961651838</v>
      </c>
      <c r="H66">
        <v>-0.02065137041549066</v>
      </c>
    </row>
    <row r="67" spans="1:8">
      <c r="A67" s="1"/>
      <c r="B67" s="1" t="s">
        <v>5</v>
      </c>
      <c r="C67">
        <v>0.01610397436362384</v>
      </c>
      <c r="D67">
        <v>0.006393020395796656</v>
      </c>
      <c r="E67">
        <v>2.518993115400044</v>
      </c>
      <c r="F67">
        <v>0.01176909578572255</v>
      </c>
      <c r="G67">
        <v>0.003573884635432395</v>
      </c>
      <c r="H67">
        <v>0.02863406409181529</v>
      </c>
    </row>
    <row r="68" spans="1:8">
      <c r="A68" s="1"/>
      <c r="B68" s="1" t="s">
        <v>6</v>
      </c>
      <c r="C68">
        <v>-0.0002635151477425914</v>
      </c>
      <c r="D68">
        <v>2.340678667634308E-05</v>
      </c>
      <c r="E68">
        <v>-11.25806593559135</v>
      </c>
      <c r="F68">
        <v>2.113461589453752E-29</v>
      </c>
      <c r="G68">
        <v>-0.0003093916066220358</v>
      </c>
      <c r="H68">
        <v>-0.000217638688863147</v>
      </c>
    </row>
    <row r="69" spans="1:8">
      <c r="A69" s="1"/>
      <c r="B69" s="1" t="s">
        <v>7</v>
      </c>
      <c r="C69">
        <v>-0.08232829390388569</v>
      </c>
      <c r="D69">
        <v>0.0296485570428962</v>
      </c>
      <c r="E69">
        <v>-2.776806094973568</v>
      </c>
      <c r="F69">
        <v>0.005489591797332068</v>
      </c>
      <c r="G69">
        <v>-0.1404383979015436</v>
      </c>
      <c r="H69">
        <v>-0.02421818990622777</v>
      </c>
    </row>
    <row r="70" spans="1:8">
      <c r="A70" s="1"/>
      <c r="B70" s="1" t="s">
        <v>8</v>
      </c>
      <c r="C70">
        <v>0.2671096132710744</v>
      </c>
      <c r="D70">
        <v>0.01914292380586237</v>
      </c>
      <c r="E70">
        <v>13.9534386690331</v>
      </c>
      <c r="F70">
        <v>2.997952651873238E-44</v>
      </c>
      <c r="G70">
        <v>0.2295901720527897</v>
      </c>
      <c r="H70">
        <v>0.304629054489359</v>
      </c>
    </row>
    <row r="71" spans="1:8">
      <c r="A71" s="1"/>
      <c r="B71" s="1" t="s">
        <v>9</v>
      </c>
      <c r="C71">
        <v>-3.035137702200101</v>
      </c>
      <c r="D71">
        <v>909294.5224356203</v>
      </c>
      <c r="E71">
        <v>-3.337903866472477E-06</v>
      </c>
      <c r="F71">
        <v>0.9999973367380395</v>
      </c>
      <c r="G71">
        <v>-1782187.550451066</v>
      </c>
      <c r="H71">
        <v>1782181.480175662</v>
      </c>
    </row>
    <row r="72" spans="1:8">
      <c r="A72" s="1"/>
      <c r="B72" s="1" t="s">
        <v>10</v>
      </c>
      <c r="C72">
        <v>0.04085807417174771</v>
      </c>
      <c r="D72">
        <v>0.01707828509480681</v>
      </c>
      <c r="E72">
        <v>2.39239911647639</v>
      </c>
      <c r="F72">
        <v>0.01673862906777172</v>
      </c>
      <c r="G72">
        <v>0.007385250468219154</v>
      </c>
      <c r="H72">
        <v>0.07433089787527628</v>
      </c>
    </row>
    <row r="73" spans="1:8">
      <c r="A73" s="1"/>
      <c r="B73" s="1" t="s">
        <v>11</v>
      </c>
      <c r="C73">
        <v>0.02143984558871048</v>
      </c>
      <c r="D73">
        <v>0.01354399274978169</v>
      </c>
      <c r="E73">
        <v>1.582978223984655</v>
      </c>
      <c r="F73">
        <v>0.113426427787231</v>
      </c>
      <c r="G73">
        <v>-0.005105892407733254</v>
      </c>
      <c r="H73">
        <v>0.04798558358515422</v>
      </c>
    </row>
    <row r="74" spans="1:8">
      <c r="A74" s="1"/>
      <c r="B74" s="1" t="s">
        <v>12</v>
      </c>
      <c r="C74">
        <v>0.03933195185532646</v>
      </c>
      <c r="D74">
        <v>0.01535489563036534</v>
      </c>
      <c r="E74">
        <v>2.561525184029573</v>
      </c>
      <c r="F74">
        <v>0.010421368536209</v>
      </c>
      <c r="G74">
        <v>0.009236909433438946</v>
      </c>
      <c r="H74">
        <v>0.06942699427721397</v>
      </c>
    </row>
    <row r="75" spans="1:8">
      <c r="A75" s="1"/>
      <c r="B75" s="1" t="s">
        <v>13</v>
      </c>
      <c r="C75">
        <v>0.02059769204725095</v>
      </c>
      <c r="D75">
        <v>0.01339196078439873</v>
      </c>
      <c r="E75">
        <v>1.53806394588959</v>
      </c>
      <c r="F75">
        <v>0.1240329803656718</v>
      </c>
      <c r="G75">
        <v>-0.005650068772543329</v>
      </c>
      <c r="H75">
        <v>0.04684545286704524</v>
      </c>
    </row>
    <row r="76" spans="1:8">
      <c r="A76" s="1"/>
      <c r="B76" s="1" t="s">
        <v>14</v>
      </c>
      <c r="C76">
        <v>0.01760488308335311</v>
      </c>
      <c r="D76">
        <v>0.0174040046182531</v>
      </c>
      <c r="E76">
        <v>1.011542082957696</v>
      </c>
      <c r="F76">
        <v>0.3117570500596278</v>
      </c>
      <c r="G76">
        <v>-0.01650633915519174</v>
      </c>
      <c r="H76">
        <v>0.05171610532189796</v>
      </c>
    </row>
    <row r="77" spans="1:8">
      <c r="A77" s="1"/>
      <c r="B77" s="1" t="s">
        <v>15</v>
      </c>
      <c r="C77">
        <v>0.06553453466195704</v>
      </c>
      <c r="D77">
        <v>0.01665801515420483</v>
      </c>
      <c r="E77">
        <v>3.934114242020889</v>
      </c>
      <c r="F77">
        <v>8.350406185254688E-05</v>
      </c>
      <c r="G77">
        <v>0.03288542490579312</v>
      </c>
      <c r="H77">
        <v>0.09818364441812094</v>
      </c>
    </row>
    <row r="78" spans="1:8">
      <c r="A78" s="1"/>
      <c r="B78" s="1" t="s">
        <v>16</v>
      </c>
      <c r="C78">
        <v>-0.004424797629700101</v>
      </c>
      <c r="D78">
        <v>0.01275221587171907</v>
      </c>
      <c r="E78">
        <v>-0.346982647895186</v>
      </c>
      <c r="F78">
        <v>0.7286043548523136</v>
      </c>
      <c r="G78">
        <v>-0.02941868146134953</v>
      </c>
      <c r="H78">
        <v>0.02056908620194933</v>
      </c>
    </row>
    <row r="79" spans="1:8">
      <c r="A79" s="1"/>
      <c r="B79" s="1" t="s">
        <v>17</v>
      </c>
      <c r="C79">
        <v>-0.02001832102885849</v>
      </c>
      <c r="D79">
        <v>0.01799632747847442</v>
      </c>
      <c r="E79">
        <v>-1.112355898880069</v>
      </c>
      <c r="F79">
        <v>0.2659851583744878</v>
      </c>
      <c r="G79">
        <v>-0.05529047474065688</v>
      </c>
      <c r="H79">
        <v>0.01525383268293989</v>
      </c>
    </row>
    <row r="80" spans="1:8">
      <c r="A80" s="1"/>
      <c r="B80" s="1" t="s">
        <v>18</v>
      </c>
      <c r="C80">
        <v>0.0485693409683625</v>
      </c>
      <c r="D80">
        <v>0.01473939931485889</v>
      </c>
      <c r="E80">
        <v>3.295204908343817</v>
      </c>
      <c r="F80">
        <v>0.0009834993673847802</v>
      </c>
      <c r="G80">
        <v>0.01968064915748473</v>
      </c>
      <c r="H80">
        <v>0.07745803277924028</v>
      </c>
    </row>
    <row r="81" spans="1:8">
      <c r="A81" s="1"/>
      <c r="B81" s="1" t="s">
        <v>19</v>
      </c>
      <c r="C81">
        <v>0.03745589320204858</v>
      </c>
      <c r="D81">
        <v>0.013338684059877</v>
      </c>
      <c r="E81">
        <v>2.808065101018215</v>
      </c>
      <c r="F81">
        <v>0.004984015026226062</v>
      </c>
      <c r="G81">
        <v>0.01131255284353114</v>
      </c>
      <c r="H81">
        <v>0.06359923356056602</v>
      </c>
    </row>
  </sheetData>
  <mergeCells count="4">
    <mergeCell ref="A2:A21"/>
    <mergeCell ref="A22:A41"/>
    <mergeCell ref="A42:A61"/>
    <mergeCell ref="A62:A8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80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44</v>
      </c>
    </row>
    <row r="3" spans="1:1">
      <c r="A3">
        <f>=============================================================================</f>
        <v>0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>
        <f>=====================================================================================================</f>
        <v>0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  <row r="15" spans="1:1">
      <c r="A15" t="s">
        <v>55</v>
      </c>
    </row>
    <row r="16" spans="1:1">
      <c r="A16" t="s">
        <v>56</v>
      </c>
    </row>
    <row r="17" spans="1:1">
      <c r="A17" t="s">
        <v>57</v>
      </c>
    </row>
    <row r="18" spans="1:1">
      <c r="A18" t="s">
        <v>58</v>
      </c>
    </row>
    <row r="19" spans="1:1">
      <c r="A19" t="s">
        <v>59</v>
      </c>
    </row>
    <row r="20" spans="1:1">
      <c r="A20" t="s">
        <v>60</v>
      </c>
    </row>
    <row r="21" spans="1:1">
      <c r="A21" t="s">
        <v>61</v>
      </c>
    </row>
    <row r="22" spans="1:1">
      <c r="A22" t="s">
        <v>62</v>
      </c>
    </row>
    <row r="23" spans="1:1">
      <c r="A23" t="s">
        <v>63</v>
      </c>
    </row>
    <row r="24" spans="1:1">
      <c r="A24" t="s">
        <v>64</v>
      </c>
    </row>
    <row r="25" spans="1:1">
      <c r="A25" t="s">
        <v>65</v>
      </c>
    </row>
    <row r="26" spans="1:1">
      <c r="A26" t="s">
        <v>66</v>
      </c>
    </row>
    <row r="27" spans="1:1">
      <c r="A27" t="s">
        <v>67</v>
      </c>
    </row>
    <row r="28" spans="1:1">
      <c r="A28" t="s">
        <v>68</v>
      </c>
    </row>
    <row r="29" spans="1:1">
      <c r="A29" t="s">
        <v>69</v>
      </c>
    </row>
    <row r="30" spans="1:1">
      <c r="A30" t="s">
        <v>70</v>
      </c>
    </row>
    <row r="31" spans="1:1">
      <c r="A31" t="s">
        <v>71</v>
      </c>
    </row>
    <row r="32" spans="1:1">
      <c r="A32" t="s">
        <v>72</v>
      </c>
    </row>
    <row r="33" spans="1:1">
      <c r="A33" t="s">
        <v>73</v>
      </c>
    </row>
    <row r="34" spans="1:1">
      <c r="A34" t="s">
        <v>53</v>
      </c>
    </row>
    <row r="35" spans="1:1">
      <c r="A35" t="s">
        <v>74</v>
      </c>
    </row>
    <row r="36" spans="1:1">
      <c r="A36" t="s">
        <v>53</v>
      </c>
    </row>
    <row r="37" spans="1:1">
      <c r="A37" t="s">
        <v>75</v>
      </c>
    </row>
    <row r="38" spans="1:1">
      <c r="A38" t="s">
        <v>76</v>
      </c>
    </row>
    <row r="39" spans="1:1">
      <c r="A39" t="s">
        <v>77</v>
      </c>
    </row>
    <row r="40" spans="1:1">
      <c r="A40" t="s">
        <v>78</v>
      </c>
    </row>
    <row r="41" spans="1:1">
      <c r="A41" t="s">
        <v>79</v>
      </c>
    </row>
    <row r="42" spans="1:1">
      <c r="A42" t="s">
        <v>80</v>
      </c>
    </row>
    <row r="43" spans="1:1">
      <c r="A43" t="s">
        <v>81</v>
      </c>
    </row>
    <row r="44" spans="1:1">
      <c r="A44" t="s">
        <v>82</v>
      </c>
    </row>
    <row r="45" spans="1:1">
      <c r="A45" t="s">
        <v>83</v>
      </c>
    </row>
    <row r="46" spans="1:1">
      <c r="A46" t="s">
        <v>84</v>
      </c>
    </row>
    <row r="47" spans="1:1">
      <c r="A47" t="s">
        <v>85</v>
      </c>
    </row>
    <row r="48" spans="1:1">
      <c r="A48" t="s">
        <v>86</v>
      </c>
    </row>
    <row r="49" spans="1:1">
      <c r="A49" t="s">
        <v>87</v>
      </c>
    </row>
    <row r="50" spans="1:1">
      <c r="A50" t="s">
        <v>88</v>
      </c>
    </row>
    <row r="51" spans="1:1">
      <c r="A51" t="s">
        <v>89</v>
      </c>
    </row>
    <row r="52" spans="1:1">
      <c r="A52" t="s">
        <v>90</v>
      </c>
    </row>
    <row r="53" spans="1:1">
      <c r="A53" t="s">
        <v>91</v>
      </c>
    </row>
    <row r="54" spans="1:1">
      <c r="A54" t="s">
        <v>92</v>
      </c>
    </row>
    <row r="55" spans="1:1">
      <c r="A55" t="s">
        <v>93</v>
      </c>
    </row>
    <row r="56" spans="1:1">
      <c r="A56" t="s">
        <v>94</v>
      </c>
    </row>
    <row r="57" spans="1:1">
      <c r="A57" t="s">
        <v>53</v>
      </c>
    </row>
    <row r="58" spans="1:1">
      <c r="A58" t="s">
        <v>95</v>
      </c>
    </row>
    <row r="59" spans="1:1">
      <c r="A59" t="s">
        <v>53</v>
      </c>
    </row>
    <row r="60" spans="1:1">
      <c r="A60" t="s">
        <v>96</v>
      </c>
    </row>
    <row r="61" spans="1:1">
      <c r="A61" t="s">
        <v>97</v>
      </c>
    </row>
    <row r="62" spans="1:1">
      <c r="A62" t="s">
        <v>98</v>
      </c>
    </row>
    <row r="63" spans="1:1">
      <c r="A63" t="s">
        <v>99</v>
      </c>
    </row>
    <row r="64" spans="1:1">
      <c r="A64" t="s">
        <v>100</v>
      </c>
    </row>
    <row r="65" spans="1:1">
      <c r="A65" t="s">
        <v>101</v>
      </c>
    </row>
    <row r="66" spans="1:1">
      <c r="A66" t="s">
        <v>102</v>
      </c>
    </row>
    <row r="67" spans="1:1">
      <c r="A67" t="s">
        <v>103</v>
      </c>
    </row>
    <row r="68" spans="1:1">
      <c r="A68" t="s">
        <v>104</v>
      </c>
    </row>
    <row r="69" spans="1:1">
      <c r="A69" t="s">
        <v>105</v>
      </c>
    </row>
    <row r="70" spans="1:1">
      <c r="A70" t="s">
        <v>106</v>
      </c>
    </row>
    <row r="71" spans="1:1">
      <c r="A71" t="s">
        <v>107</v>
      </c>
    </row>
    <row r="72" spans="1:1">
      <c r="A72" t="s">
        <v>108</v>
      </c>
    </row>
    <row r="73" spans="1:1">
      <c r="A73" t="s">
        <v>109</v>
      </c>
    </row>
    <row r="74" spans="1:1">
      <c r="A74" t="s">
        <v>110</v>
      </c>
    </row>
    <row r="75" spans="1:1">
      <c r="A75" t="s">
        <v>111</v>
      </c>
    </row>
    <row r="76" spans="1:1">
      <c r="A76" t="s">
        <v>112</v>
      </c>
    </row>
    <row r="77" spans="1:1">
      <c r="A77" t="s">
        <v>113</v>
      </c>
    </row>
    <row r="78" spans="1:1">
      <c r="A78" t="s">
        <v>114</v>
      </c>
    </row>
    <row r="79" spans="1:1">
      <c r="A79" t="s">
        <v>115</v>
      </c>
    </row>
    <row r="80" spans="1:1">
      <c r="A80">
        <f>=====================================================================================================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betas_wide</vt:lpstr>
      <vt:lpstr>se_wide</vt:lpstr>
      <vt:lpstr>pvalues_wide</vt:lpstr>
      <vt:lpstr>CI_lo_wide</vt:lpstr>
      <vt:lpstr>CI_hi_wide</vt:lpstr>
      <vt:lpstr>OR_wide</vt:lpstr>
      <vt:lpstr>OR_CI_lo_wide</vt:lpstr>
      <vt:lpstr>OR_CI_hi_wide</vt:lpstr>
      <vt:lpstr>tidy_all</vt:lpstr>
      <vt:lpstr>marginal_effects</vt:lpstr>
      <vt:lpstr>summary_text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2025-10-27T16:50:20Z</dcterms:created>
  <dcterms:modified xsi:type="dcterms:W3CDTF">2025-10-27T16:50:20Z</dcterms:modified>
</cp:coreProperties>
</file>